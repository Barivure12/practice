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Raw Data" sheetId="4" r:id="rId1"/>
    <sheet name="Pivot Table" sheetId="3" r:id="rId2"/>
    <sheet name="Cleaned Aviation Dataset" sheetId="1" r:id="rId3"/>
    <sheet name="Charts" sheetId="6" r:id="rId4"/>
    <sheet name="Dashboard" sheetId="7" r:id="rId5"/>
  </sheets>
  <calcPr calcId="124519"/>
  <pivotCaches>
    <pivotCache cacheId="1" r:id="rId6"/>
  </pivotCaches>
</workbook>
</file>

<file path=xl/calcChain.xml><?xml version="1.0" encoding="utf-8"?>
<calcChain xmlns="http://schemas.openxmlformats.org/spreadsheetml/2006/main">
  <c r="H2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</calcChain>
</file>

<file path=xl/sharedStrings.xml><?xml version="1.0" encoding="utf-8"?>
<sst xmlns="http://schemas.openxmlformats.org/spreadsheetml/2006/main" count="649" uniqueCount="28">
  <si>
    <t>Airline</t>
  </si>
  <si>
    <t>Flight Type</t>
  </si>
  <si>
    <t>Aircraft Model</t>
  </si>
  <si>
    <t>Flight Duration (hrs)</t>
  </si>
  <si>
    <t>Passenger Count</t>
  </si>
  <si>
    <t>Fuel Consumption (Liters)</t>
  </si>
  <si>
    <t>Ticket Revenue (NGN)</t>
  </si>
  <si>
    <t>Dana Air</t>
  </si>
  <si>
    <t>International</t>
  </si>
  <si>
    <t>Embraer 145</t>
  </si>
  <si>
    <t>Max Air</t>
  </si>
  <si>
    <t>ATR 72</t>
  </si>
  <si>
    <t>Air Peace</t>
  </si>
  <si>
    <t>Arik Air</t>
  </si>
  <si>
    <t>Domestic</t>
  </si>
  <si>
    <t>Boeing 777</t>
  </si>
  <si>
    <t>Ibom Air</t>
  </si>
  <si>
    <t>Boeing 737</t>
  </si>
  <si>
    <t>Airbus A320</t>
  </si>
  <si>
    <t>Row Labels</t>
  </si>
  <si>
    <t>Grand Total</t>
  </si>
  <si>
    <t>Sum of Ticket Revenue (NGN)</t>
  </si>
  <si>
    <t>Values</t>
  </si>
  <si>
    <t>Average of Flight Duration (hrs)</t>
  </si>
  <si>
    <t>Average of Fuel Consumption (Liters)</t>
  </si>
  <si>
    <t>Average of Ticket Revenue (NGN)</t>
  </si>
  <si>
    <t>Fuel Efficiency</t>
  </si>
  <si>
    <t>Average of Fuel Efficiency</t>
  </si>
</sst>
</file>

<file path=xl/styles.xml><?xml version="1.0" encoding="utf-8"?>
<styleSheet xmlns="http://schemas.openxmlformats.org/spreadsheetml/2006/main">
  <numFmts count="1">
    <numFmt numFmtId="164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0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'Cleaned Aviation Dataset'!$F$1</c:f>
              <c:strCache>
                <c:ptCount val="1"/>
                <c:pt idx="0">
                  <c:v>Fuel Consumption (Liters)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75411415905632"/>
                  <c:y val="-0.30307997958588623"/>
                </c:manualLayout>
              </c:layout>
              <c:numFmt formatCode="General" sourceLinked="0"/>
            </c:trendlineLbl>
          </c:trendline>
          <c:xVal>
            <c:numRef>
              <c:f>'Cleaned Aviation Dataset'!$D$2:$D$101</c:f>
              <c:numCache>
                <c:formatCode>General</c:formatCode>
                <c:ptCount val="100"/>
                <c:pt idx="0">
                  <c:v>11.02</c:v>
                </c:pt>
                <c:pt idx="1">
                  <c:v>7.88</c:v>
                </c:pt>
                <c:pt idx="2">
                  <c:v>11.61</c:v>
                </c:pt>
                <c:pt idx="3">
                  <c:v>5.03</c:v>
                </c:pt>
                <c:pt idx="4">
                  <c:v>9.0500000000000007</c:v>
                </c:pt>
                <c:pt idx="5">
                  <c:v>11.85</c:v>
                </c:pt>
                <c:pt idx="6">
                  <c:v>8.59</c:v>
                </c:pt>
                <c:pt idx="7">
                  <c:v>3.35</c:v>
                </c:pt>
                <c:pt idx="8">
                  <c:v>5.56</c:v>
                </c:pt>
                <c:pt idx="9">
                  <c:v>9.11</c:v>
                </c:pt>
                <c:pt idx="10">
                  <c:v>10.36</c:v>
                </c:pt>
                <c:pt idx="11">
                  <c:v>7.85</c:v>
                </c:pt>
                <c:pt idx="12">
                  <c:v>1.47</c:v>
                </c:pt>
                <c:pt idx="13">
                  <c:v>10.06</c:v>
                </c:pt>
                <c:pt idx="14">
                  <c:v>6.56</c:v>
                </c:pt>
                <c:pt idx="15">
                  <c:v>10.38</c:v>
                </c:pt>
                <c:pt idx="16">
                  <c:v>6.3</c:v>
                </c:pt>
                <c:pt idx="17">
                  <c:v>8.75</c:v>
                </c:pt>
                <c:pt idx="18">
                  <c:v>3.98</c:v>
                </c:pt>
                <c:pt idx="19">
                  <c:v>10.210000000000001</c:v>
                </c:pt>
                <c:pt idx="20">
                  <c:v>10.06</c:v>
                </c:pt>
                <c:pt idx="21">
                  <c:v>8.17</c:v>
                </c:pt>
                <c:pt idx="22">
                  <c:v>3.07</c:v>
                </c:pt>
                <c:pt idx="23">
                  <c:v>4.22</c:v>
                </c:pt>
                <c:pt idx="24">
                  <c:v>5.33</c:v>
                </c:pt>
                <c:pt idx="25">
                  <c:v>11.34</c:v>
                </c:pt>
                <c:pt idx="26">
                  <c:v>9.77</c:v>
                </c:pt>
                <c:pt idx="27">
                  <c:v>8.5</c:v>
                </c:pt>
                <c:pt idx="28">
                  <c:v>11.87</c:v>
                </c:pt>
                <c:pt idx="29">
                  <c:v>9.75</c:v>
                </c:pt>
                <c:pt idx="30">
                  <c:v>2.21</c:v>
                </c:pt>
                <c:pt idx="31">
                  <c:v>6.4</c:v>
                </c:pt>
                <c:pt idx="32">
                  <c:v>10.45</c:v>
                </c:pt>
                <c:pt idx="33">
                  <c:v>6.52</c:v>
                </c:pt>
                <c:pt idx="34">
                  <c:v>9.33</c:v>
                </c:pt>
                <c:pt idx="35">
                  <c:v>6.02</c:v>
                </c:pt>
                <c:pt idx="36">
                  <c:v>4.07</c:v>
                </c:pt>
                <c:pt idx="37">
                  <c:v>10.08</c:v>
                </c:pt>
                <c:pt idx="38">
                  <c:v>5.55</c:v>
                </c:pt>
                <c:pt idx="39">
                  <c:v>2.96</c:v>
                </c:pt>
                <c:pt idx="40">
                  <c:v>8.44</c:v>
                </c:pt>
                <c:pt idx="41">
                  <c:v>11.21</c:v>
                </c:pt>
                <c:pt idx="42">
                  <c:v>10.97</c:v>
                </c:pt>
                <c:pt idx="43">
                  <c:v>7.51</c:v>
                </c:pt>
                <c:pt idx="44">
                  <c:v>2.56</c:v>
                </c:pt>
                <c:pt idx="45">
                  <c:v>11.52</c:v>
                </c:pt>
                <c:pt idx="46">
                  <c:v>10.64</c:v>
                </c:pt>
                <c:pt idx="47">
                  <c:v>6.26</c:v>
                </c:pt>
                <c:pt idx="48">
                  <c:v>1.52</c:v>
                </c:pt>
                <c:pt idx="49">
                  <c:v>2.83</c:v>
                </c:pt>
                <c:pt idx="50">
                  <c:v>2.27</c:v>
                </c:pt>
                <c:pt idx="51">
                  <c:v>9.0500000000000007</c:v>
                </c:pt>
                <c:pt idx="52">
                  <c:v>7.61</c:v>
                </c:pt>
                <c:pt idx="53">
                  <c:v>6.31</c:v>
                </c:pt>
                <c:pt idx="54">
                  <c:v>6</c:v>
                </c:pt>
                <c:pt idx="55">
                  <c:v>7.91</c:v>
                </c:pt>
                <c:pt idx="56">
                  <c:v>2.16</c:v>
                </c:pt>
                <c:pt idx="57">
                  <c:v>7.92</c:v>
                </c:pt>
                <c:pt idx="58">
                  <c:v>10.220000000000001</c:v>
                </c:pt>
                <c:pt idx="59">
                  <c:v>7.51</c:v>
                </c:pt>
                <c:pt idx="60">
                  <c:v>9.7799999999999994</c:v>
                </c:pt>
                <c:pt idx="61">
                  <c:v>3.06</c:v>
                </c:pt>
                <c:pt idx="62">
                  <c:v>6.58</c:v>
                </c:pt>
                <c:pt idx="63">
                  <c:v>5.36</c:v>
                </c:pt>
                <c:pt idx="64">
                  <c:v>7.49</c:v>
                </c:pt>
                <c:pt idx="65">
                  <c:v>11.32</c:v>
                </c:pt>
                <c:pt idx="66">
                  <c:v>10.68</c:v>
                </c:pt>
                <c:pt idx="67">
                  <c:v>2.87</c:v>
                </c:pt>
                <c:pt idx="68">
                  <c:v>2.85</c:v>
                </c:pt>
                <c:pt idx="69">
                  <c:v>2.83</c:v>
                </c:pt>
                <c:pt idx="70">
                  <c:v>11.1</c:v>
                </c:pt>
                <c:pt idx="71">
                  <c:v>10.72</c:v>
                </c:pt>
                <c:pt idx="72">
                  <c:v>8.51</c:v>
                </c:pt>
                <c:pt idx="73">
                  <c:v>3.03</c:v>
                </c:pt>
                <c:pt idx="74">
                  <c:v>10.96</c:v>
                </c:pt>
                <c:pt idx="75">
                  <c:v>4.1100000000000003</c:v>
                </c:pt>
                <c:pt idx="76">
                  <c:v>6.06</c:v>
                </c:pt>
                <c:pt idx="77">
                  <c:v>11.45</c:v>
                </c:pt>
                <c:pt idx="78">
                  <c:v>2.27</c:v>
                </c:pt>
                <c:pt idx="79">
                  <c:v>1.1399999999999999</c:v>
                </c:pt>
                <c:pt idx="80">
                  <c:v>11.35</c:v>
                </c:pt>
                <c:pt idx="81">
                  <c:v>8.5500000000000007</c:v>
                </c:pt>
                <c:pt idx="82">
                  <c:v>2.99</c:v>
                </c:pt>
                <c:pt idx="83">
                  <c:v>3</c:v>
                </c:pt>
                <c:pt idx="84">
                  <c:v>6.38</c:v>
                </c:pt>
                <c:pt idx="85">
                  <c:v>6.84</c:v>
                </c:pt>
                <c:pt idx="86">
                  <c:v>11.56</c:v>
                </c:pt>
                <c:pt idx="87">
                  <c:v>1.22</c:v>
                </c:pt>
                <c:pt idx="88">
                  <c:v>10.25</c:v>
                </c:pt>
                <c:pt idx="89">
                  <c:v>3.69</c:v>
                </c:pt>
                <c:pt idx="90">
                  <c:v>10.8</c:v>
                </c:pt>
                <c:pt idx="91">
                  <c:v>8.85</c:v>
                </c:pt>
                <c:pt idx="92">
                  <c:v>9.48</c:v>
                </c:pt>
                <c:pt idx="93">
                  <c:v>9.01</c:v>
                </c:pt>
                <c:pt idx="94">
                  <c:v>4.93</c:v>
                </c:pt>
                <c:pt idx="95">
                  <c:v>7.7</c:v>
                </c:pt>
                <c:pt idx="96">
                  <c:v>5.68</c:v>
                </c:pt>
                <c:pt idx="97">
                  <c:v>4.12</c:v>
                </c:pt>
                <c:pt idx="98">
                  <c:v>7</c:v>
                </c:pt>
                <c:pt idx="99">
                  <c:v>5.51</c:v>
                </c:pt>
              </c:numCache>
            </c:numRef>
          </c:xVal>
          <c:yVal>
            <c:numRef>
              <c:f>'Cleaned Aviation Dataset'!$F$2:$F$101</c:f>
              <c:numCache>
                <c:formatCode>General</c:formatCode>
                <c:ptCount val="100"/>
                <c:pt idx="0">
                  <c:v>1163.5999999999999</c:v>
                </c:pt>
                <c:pt idx="1">
                  <c:v>16627.46</c:v>
                </c:pt>
                <c:pt idx="2">
                  <c:v>19902.400000000001</c:v>
                </c:pt>
                <c:pt idx="3">
                  <c:v>6422.56</c:v>
                </c:pt>
                <c:pt idx="4">
                  <c:v>2565.38</c:v>
                </c:pt>
                <c:pt idx="5">
                  <c:v>17904.8</c:v>
                </c:pt>
                <c:pt idx="6">
                  <c:v>10215.33</c:v>
                </c:pt>
                <c:pt idx="7">
                  <c:v>17186.759999999998</c:v>
                </c:pt>
                <c:pt idx="8">
                  <c:v>17815.78</c:v>
                </c:pt>
                <c:pt idx="9">
                  <c:v>15190.5</c:v>
                </c:pt>
                <c:pt idx="10">
                  <c:v>7438.91</c:v>
                </c:pt>
                <c:pt idx="11">
                  <c:v>18145.52</c:v>
                </c:pt>
                <c:pt idx="12">
                  <c:v>10235.84</c:v>
                </c:pt>
                <c:pt idx="13">
                  <c:v>19669.509999999998</c:v>
                </c:pt>
                <c:pt idx="14">
                  <c:v>16662.650000000001</c:v>
                </c:pt>
                <c:pt idx="15">
                  <c:v>15585.67</c:v>
                </c:pt>
                <c:pt idx="16">
                  <c:v>5180.99</c:v>
                </c:pt>
                <c:pt idx="17">
                  <c:v>17261.45</c:v>
                </c:pt>
                <c:pt idx="18">
                  <c:v>3716.58</c:v>
                </c:pt>
                <c:pt idx="19">
                  <c:v>4424.07</c:v>
                </c:pt>
                <c:pt idx="20">
                  <c:v>10414.99</c:v>
                </c:pt>
                <c:pt idx="21">
                  <c:v>19333.939999999999</c:v>
                </c:pt>
                <c:pt idx="22">
                  <c:v>10636.21</c:v>
                </c:pt>
                <c:pt idx="23">
                  <c:v>8959.66</c:v>
                </c:pt>
                <c:pt idx="24">
                  <c:v>1224.6600000000001</c:v>
                </c:pt>
                <c:pt idx="25">
                  <c:v>7310.4</c:v>
                </c:pt>
                <c:pt idx="26">
                  <c:v>13500.47</c:v>
                </c:pt>
                <c:pt idx="27">
                  <c:v>2226.71</c:v>
                </c:pt>
                <c:pt idx="28">
                  <c:v>13732</c:v>
                </c:pt>
                <c:pt idx="29">
                  <c:v>3884.68</c:v>
                </c:pt>
                <c:pt idx="30">
                  <c:v>1565.05</c:v>
                </c:pt>
                <c:pt idx="31">
                  <c:v>14372.79</c:v>
                </c:pt>
                <c:pt idx="32">
                  <c:v>14612.47</c:v>
                </c:pt>
                <c:pt idx="33">
                  <c:v>14269.12</c:v>
                </c:pt>
                <c:pt idx="34">
                  <c:v>14059.25</c:v>
                </c:pt>
                <c:pt idx="35">
                  <c:v>10398.9</c:v>
                </c:pt>
                <c:pt idx="36">
                  <c:v>8112.12</c:v>
                </c:pt>
                <c:pt idx="37">
                  <c:v>17236.240000000002</c:v>
                </c:pt>
                <c:pt idx="38">
                  <c:v>4281.04</c:v>
                </c:pt>
                <c:pt idx="39">
                  <c:v>15285.53</c:v>
                </c:pt>
                <c:pt idx="40">
                  <c:v>1019.21</c:v>
                </c:pt>
                <c:pt idx="41">
                  <c:v>9331.2000000000007</c:v>
                </c:pt>
                <c:pt idx="42">
                  <c:v>14153.08</c:v>
                </c:pt>
                <c:pt idx="43">
                  <c:v>19461.32</c:v>
                </c:pt>
                <c:pt idx="44">
                  <c:v>17856.97</c:v>
                </c:pt>
                <c:pt idx="45">
                  <c:v>10660.52</c:v>
                </c:pt>
                <c:pt idx="46">
                  <c:v>9341.2199999999993</c:v>
                </c:pt>
                <c:pt idx="47">
                  <c:v>18458.41</c:v>
                </c:pt>
                <c:pt idx="48">
                  <c:v>18497.77</c:v>
                </c:pt>
                <c:pt idx="49">
                  <c:v>18370.8</c:v>
                </c:pt>
                <c:pt idx="50">
                  <c:v>5088.8500000000004</c:v>
                </c:pt>
                <c:pt idx="51">
                  <c:v>16980.75</c:v>
                </c:pt>
                <c:pt idx="52">
                  <c:v>13999.95</c:v>
                </c:pt>
                <c:pt idx="53">
                  <c:v>19199.400000000001</c:v>
                </c:pt>
                <c:pt idx="54">
                  <c:v>18256.080000000002</c:v>
                </c:pt>
                <c:pt idx="55">
                  <c:v>15378.35</c:v>
                </c:pt>
                <c:pt idx="56">
                  <c:v>15303.38</c:v>
                </c:pt>
                <c:pt idx="57">
                  <c:v>6307.37</c:v>
                </c:pt>
                <c:pt idx="58">
                  <c:v>5985.06</c:v>
                </c:pt>
                <c:pt idx="59">
                  <c:v>14410.33</c:v>
                </c:pt>
                <c:pt idx="60">
                  <c:v>19368.099999999999</c:v>
                </c:pt>
                <c:pt idx="61">
                  <c:v>10070.52</c:v>
                </c:pt>
                <c:pt idx="62">
                  <c:v>5037.3900000000003</c:v>
                </c:pt>
                <c:pt idx="63">
                  <c:v>2516.52</c:v>
                </c:pt>
                <c:pt idx="64">
                  <c:v>12121.56</c:v>
                </c:pt>
                <c:pt idx="65">
                  <c:v>2838.56</c:v>
                </c:pt>
                <c:pt idx="66">
                  <c:v>14320.74</c:v>
                </c:pt>
                <c:pt idx="67">
                  <c:v>1411.8</c:v>
                </c:pt>
                <c:pt idx="68">
                  <c:v>14007.86</c:v>
                </c:pt>
                <c:pt idx="69">
                  <c:v>6959.5</c:v>
                </c:pt>
                <c:pt idx="70">
                  <c:v>14481.76</c:v>
                </c:pt>
                <c:pt idx="71">
                  <c:v>14368.58</c:v>
                </c:pt>
                <c:pt idx="72">
                  <c:v>13554.02</c:v>
                </c:pt>
                <c:pt idx="73">
                  <c:v>3239.36</c:v>
                </c:pt>
                <c:pt idx="74">
                  <c:v>9742.5499999999993</c:v>
                </c:pt>
                <c:pt idx="75">
                  <c:v>3126.49</c:v>
                </c:pt>
                <c:pt idx="76">
                  <c:v>12289.56</c:v>
                </c:pt>
                <c:pt idx="77">
                  <c:v>10667.18</c:v>
                </c:pt>
                <c:pt idx="78">
                  <c:v>4235.3100000000004</c:v>
                </c:pt>
                <c:pt idx="79">
                  <c:v>6617.21</c:v>
                </c:pt>
                <c:pt idx="80">
                  <c:v>10568.81</c:v>
                </c:pt>
                <c:pt idx="81">
                  <c:v>15460.7</c:v>
                </c:pt>
                <c:pt idx="82">
                  <c:v>4322.1099999999997</c:v>
                </c:pt>
                <c:pt idx="83">
                  <c:v>16163.38</c:v>
                </c:pt>
                <c:pt idx="84">
                  <c:v>18561.310000000001</c:v>
                </c:pt>
                <c:pt idx="85">
                  <c:v>12170.8</c:v>
                </c:pt>
                <c:pt idx="86">
                  <c:v>9377.7000000000007</c:v>
                </c:pt>
                <c:pt idx="87">
                  <c:v>11200.91</c:v>
                </c:pt>
                <c:pt idx="88">
                  <c:v>10970.84</c:v>
                </c:pt>
                <c:pt idx="89">
                  <c:v>17990.7</c:v>
                </c:pt>
                <c:pt idx="90">
                  <c:v>2026.25</c:v>
                </c:pt>
                <c:pt idx="91">
                  <c:v>7524.61</c:v>
                </c:pt>
                <c:pt idx="92">
                  <c:v>1434.19</c:v>
                </c:pt>
                <c:pt idx="93">
                  <c:v>9489.6</c:v>
                </c:pt>
                <c:pt idx="94">
                  <c:v>11299.43</c:v>
                </c:pt>
                <c:pt idx="95">
                  <c:v>8138.33</c:v>
                </c:pt>
                <c:pt idx="96">
                  <c:v>19706.59</c:v>
                </c:pt>
                <c:pt idx="97">
                  <c:v>16417.63</c:v>
                </c:pt>
                <c:pt idx="98">
                  <c:v>17680.75</c:v>
                </c:pt>
                <c:pt idx="99">
                  <c:v>11596.19</c:v>
                </c:pt>
              </c:numCache>
            </c:numRef>
          </c:yVal>
        </c:ser>
        <c:axId val="102893440"/>
        <c:axId val="102894976"/>
      </c:scatterChart>
      <c:valAx>
        <c:axId val="102893440"/>
        <c:scaling>
          <c:orientation val="minMax"/>
        </c:scaling>
        <c:axPos val="b"/>
        <c:numFmt formatCode="General" sourceLinked="1"/>
        <c:tickLblPos val="nextTo"/>
        <c:crossAx val="102894976"/>
        <c:crosses val="autoZero"/>
        <c:crossBetween val="midCat"/>
      </c:valAx>
      <c:valAx>
        <c:axId val="102894976"/>
        <c:scaling>
          <c:orientation val="minMax"/>
        </c:scaling>
        <c:axPos val="l"/>
        <c:majorGridlines/>
        <c:numFmt formatCode="General" sourceLinked="1"/>
        <c:tickLblPos val="nextTo"/>
        <c:crossAx val="1028934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Airline VS Ticket Revenue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Table'!$A$4:$A$9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62607132</c:v>
                </c:pt>
                <c:pt idx="1">
                  <c:v>69022439</c:v>
                </c:pt>
                <c:pt idx="2">
                  <c:v>58090593</c:v>
                </c:pt>
                <c:pt idx="3">
                  <c:v>69536188</c:v>
                </c:pt>
                <c:pt idx="4">
                  <c:v>31314857</c:v>
                </c:pt>
              </c:numCache>
            </c:numRef>
          </c:val>
        </c:ser>
        <c:axId val="134365184"/>
        <c:axId val="134366720"/>
      </c:barChart>
      <c:catAx>
        <c:axId val="134365184"/>
        <c:scaling>
          <c:orientation val="minMax"/>
        </c:scaling>
        <c:axPos val="b"/>
        <c:tickLblPos val="nextTo"/>
        <c:crossAx val="134366720"/>
        <c:crosses val="autoZero"/>
        <c:auto val="1"/>
        <c:lblAlgn val="ctr"/>
        <c:lblOffset val="100"/>
      </c:catAx>
      <c:valAx>
        <c:axId val="134366720"/>
        <c:scaling>
          <c:orientation val="minMax"/>
        </c:scaling>
        <c:axPos val="l"/>
        <c:numFmt formatCode="General" sourceLinked="1"/>
        <c:tickLblPos val="nextTo"/>
        <c:crossAx val="134365184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/>
              <a:t>Flight Duration</a:t>
            </a:r>
            <a:r>
              <a:rPr lang="en-US" sz="1400" baseline="0"/>
              <a:t> VS </a:t>
            </a:r>
            <a:r>
              <a:rPr lang="en-US" sz="1400"/>
              <a:t>Fuel Consumption (Liters)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'Cleaned Aviation Dataset'!$F$1</c:f>
              <c:strCache>
                <c:ptCount val="1"/>
                <c:pt idx="0">
                  <c:v>Fuel Consumption (Liters)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75411415905632"/>
                  <c:y val="-0.30307997958588651"/>
                </c:manualLayout>
              </c:layout>
              <c:numFmt formatCode="General" sourceLinked="0"/>
            </c:trendlineLbl>
          </c:trendline>
          <c:xVal>
            <c:numRef>
              <c:f>'Cleaned Aviation Dataset'!$D$2:$D$101</c:f>
              <c:numCache>
                <c:formatCode>General</c:formatCode>
                <c:ptCount val="100"/>
                <c:pt idx="0">
                  <c:v>11.02</c:v>
                </c:pt>
                <c:pt idx="1">
                  <c:v>7.88</c:v>
                </c:pt>
                <c:pt idx="2">
                  <c:v>11.61</c:v>
                </c:pt>
                <c:pt idx="3">
                  <c:v>5.03</c:v>
                </c:pt>
                <c:pt idx="4">
                  <c:v>9.0500000000000007</c:v>
                </c:pt>
                <c:pt idx="5">
                  <c:v>11.85</c:v>
                </c:pt>
                <c:pt idx="6">
                  <c:v>8.59</c:v>
                </c:pt>
                <c:pt idx="7">
                  <c:v>3.35</c:v>
                </c:pt>
                <c:pt idx="8">
                  <c:v>5.56</c:v>
                </c:pt>
                <c:pt idx="9">
                  <c:v>9.11</c:v>
                </c:pt>
                <c:pt idx="10">
                  <c:v>10.36</c:v>
                </c:pt>
                <c:pt idx="11">
                  <c:v>7.85</c:v>
                </c:pt>
                <c:pt idx="12">
                  <c:v>1.47</c:v>
                </c:pt>
                <c:pt idx="13">
                  <c:v>10.06</c:v>
                </c:pt>
                <c:pt idx="14">
                  <c:v>6.56</c:v>
                </c:pt>
                <c:pt idx="15">
                  <c:v>10.38</c:v>
                </c:pt>
                <c:pt idx="16">
                  <c:v>6.3</c:v>
                </c:pt>
                <c:pt idx="17">
                  <c:v>8.75</c:v>
                </c:pt>
                <c:pt idx="18">
                  <c:v>3.98</c:v>
                </c:pt>
                <c:pt idx="19">
                  <c:v>10.210000000000001</c:v>
                </c:pt>
                <c:pt idx="20">
                  <c:v>10.06</c:v>
                </c:pt>
                <c:pt idx="21">
                  <c:v>8.17</c:v>
                </c:pt>
                <c:pt idx="22">
                  <c:v>3.07</c:v>
                </c:pt>
                <c:pt idx="23">
                  <c:v>4.22</c:v>
                </c:pt>
                <c:pt idx="24">
                  <c:v>5.33</c:v>
                </c:pt>
                <c:pt idx="25">
                  <c:v>11.34</c:v>
                </c:pt>
                <c:pt idx="26">
                  <c:v>9.77</c:v>
                </c:pt>
                <c:pt idx="27">
                  <c:v>8.5</c:v>
                </c:pt>
                <c:pt idx="28">
                  <c:v>11.87</c:v>
                </c:pt>
                <c:pt idx="29">
                  <c:v>9.75</c:v>
                </c:pt>
                <c:pt idx="30">
                  <c:v>2.21</c:v>
                </c:pt>
                <c:pt idx="31">
                  <c:v>6.4</c:v>
                </c:pt>
                <c:pt idx="32">
                  <c:v>10.45</c:v>
                </c:pt>
                <c:pt idx="33">
                  <c:v>6.52</c:v>
                </c:pt>
                <c:pt idx="34">
                  <c:v>9.33</c:v>
                </c:pt>
                <c:pt idx="35">
                  <c:v>6.02</c:v>
                </c:pt>
                <c:pt idx="36">
                  <c:v>4.07</c:v>
                </c:pt>
                <c:pt idx="37">
                  <c:v>10.08</c:v>
                </c:pt>
                <c:pt idx="38">
                  <c:v>5.55</c:v>
                </c:pt>
                <c:pt idx="39">
                  <c:v>2.96</c:v>
                </c:pt>
                <c:pt idx="40">
                  <c:v>8.44</c:v>
                </c:pt>
                <c:pt idx="41">
                  <c:v>11.21</c:v>
                </c:pt>
                <c:pt idx="42">
                  <c:v>10.97</c:v>
                </c:pt>
                <c:pt idx="43">
                  <c:v>7.51</c:v>
                </c:pt>
                <c:pt idx="44">
                  <c:v>2.56</c:v>
                </c:pt>
                <c:pt idx="45">
                  <c:v>11.52</c:v>
                </c:pt>
                <c:pt idx="46">
                  <c:v>10.64</c:v>
                </c:pt>
                <c:pt idx="47">
                  <c:v>6.26</c:v>
                </c:pt>
                <c:pt idx="48">
                  <c:v>1.52</c:v>
                </c:pt>
                <c:pt idx="49">
                  <c:v>2.83</c:v>
                </c:pt>
                <c:pt idx="50">
                  <c:v>2.27</c:v>
                </c:pt>
                <c:pt idx="51">
                  <c:v>9.0500000000000007</c:v>
                </c:pt>
                <c:pt idx="52">
                  <c:v>7.61</c:v>
                </c:pt>
                <c:pt idx="53">
                  <c:v>6.31</c:v>
                </c:pt>
                <c:pt idx="54">
                  <c:v>6</c:v>
                </c:pt>
                <c:pt idx="55">
                  <c:v>7.91</c:v>
                </c:pt>
                <c:pt idx="56">
                  <c:v>2.16</c:v>
                </c:pt>
                <c:pt idx="57">
                  <c:v>7.92</c:v>
                </c:pt>
                <c:pt idx="58">
                  <c:v>10.220000000000001</c:v>
                </c:pt>
                <c:pt idx="59">
                  <c:v>7.51</c:v>
                </c:pt>
                <c:pt idx="60">
                  <c:v>9.7799999999999994</c:v>
                </c:pt>
                <c:pt idx="61">
                  <c:v>3.06</c:v>
                </c:pt>
                <c:pt idx="62">
                  <c:v>6.58</c:v>
                </c:pt>
                <c:pt idx="63">
                  <c:v>5.36</c:v>
                </c:pt>
                <c:pt idx="64">
                  <c:v>7.49</c:v>
                </c:pt>
                <c:pt idx="65">
                  <c:v>11.32</c:v>
                </c:pt>
                <c:pt idx="66">
                  <c:v>10.68</c:v>
                </c:pt>
                <c:pt idx="67">
                  <c:v>2.87</c:v>
                </c:pt>
                <c:pt idx="68">
                  <c:v>2.85</c:v>
                </c:pt>
                <c:pt idx="69">
                  <c:v>2.83</c:v>
                </c:pt>
                <c:pt idx="70">
                  <c:v>11.1</c:v>
                </c:pt>
                <c:pt idx="71">
                  <c:v>10.72</c:v>
                </c:pt>
                <c:pt idx="72">
                  <c:v>8.51</c:v>
                </c:pt>
                <c:pt idx="73">
                  <c:v>3.03</c:v>
                </c:pt>
                <c:pt idx="74">
                  <c:v>10.96</c:v>
                </c:pt>
                <c:pt idx="75">
                  <c:v>4.1100000000000003</c:v>
                </c:pt>
                <c:pt idx="76">
                  <c:v>6.06</c:v>
                </c:pt>
                <c:pt idx="77">
                  <c:v>11.45</c:v>
                </c:pt>
                <c:pt idx="78">
                  <c:v>2.27</c:v>
                </c:pt>
                <c:pt idx="79">
                  <c:v>1.1399999999999999</c:v>
                </c:pt>
                <c:pt idx="80">
                  <c:v>11.35</c:v>
                </c:pt>
                <c:pt idx="81">
                  <c:v>8.5500000000000007</c:v>
                </c:pt>
                <c:pt idx="82">
                  <c:v>2.99</c:v>
                </c:pt>
                <c:pt idx="83">
                  <c:v>3</c:v>
                </c:pt>
                <c:pt idx="84">
                  <c:v>6.38</c:v>
                </c:pt>
                <c:pt idx="85">
                  <c:v>6.84</c:v>
                </c:pt>
                <c:pt idx="86">
                  <c:v>11.56</c:v>
                </c:pt>
                <c:pt idx="87">
                  <c:v>1.22</c:v>
                </c:pt>
                <c:pt idx="88">
                  <c:v>10.25</c:v>
                </c:pt>
                <c:pt idx="89">
                  <c:v>3.69</c:v>
                </c:pt>
                <c:pt idx="90">
                  <c:v>10.8</c:v>
                </c:pt>
                <c:pt idx="91">
                  <c:v>8.85</c:v>
                </c:pt>
                <c:pt idx="92">
                  <c:v>9.48</c:v>
                </c:pt>
                <c:pt idx="93">
                  <c:v>9.01</c:v>
                </c:pt>
                <c:pt idx="94">
                  <c:v>4.93</c:v>
                </c:pt>
                <c:pt idx="95">
                  <c:v>7.7</c:v>
                </c:pt>
                <c:pt idx="96">
                  <c:v>5.68</c:v>
                </c:pt>
                <c:pt idx="97">
                  <c:v>4.12</c:v>
                </c:pt>
                <c:pt idx="98">
                  <c:v>7</c:v>
                </c:pt>
                <c:pt idx="99">
                  <c:v>5.51</c:v>
                </c:pt>
              </c:numCache>
            </c:numRef>
          </c:xVal>
          <c:yVal>
            <c:numRef>
              <c:f>'Cleaned Aviation Dataset'!$F$2:$F$101</c:f>
              <c:numCache>
                <c:formatCode>General</c:formatCode>
                <c:ptCount val="100"/>
                <c:pt idx="0">
                  <c:v>1163.5999999999999</c:v>
                </c:pt>
                <c:pt idx="1">
                  <c:v>16627.46</c:v>
                </c:pt>
                <c:pt idx="2">
                  <c:v>19902.400000000001</c:v>
                </c:pt>
                <c:pt idx="3">
                  <c:v>6422.56</c:v>
                </c:pt>
                <c:pt idx="4">
                  <c:v>2565.38</c:v>
                </c:pt>
                <c:pt idx="5">
                  <c:v>17904.8</c:v>
                </c:pt>
                <c:pt idx="6">
                  <c:v>10215.33</c:v>
                </c:pt>
                <c:pt idx="7">
                  <c:v>17186.759999999998</c:v>
                </c:pt>
                <c:pt idx="8">
                  <c:v>17815.78</c:v>
                </c:pt>
                <c:pt idx="9">
                  <c:v>15190.5</c:v>
                </c:pt>
                <c:pt idx="10">
                  <c:v>7438.91</c:v>
                </c:pt>
                <c:pt idx="11">
                  <c:v>18145.52</c:v>
                </c:pt>
                <c:pt idx="12">
                  <c:v>10235.84</c:v>
                </c:pt>
                <c:pt idx="13">
                  <c:v>19669.509999999998</c:v>
                </c:pt>
                <c:pt idx="14">
                  <c:v>16662.650000000001</c:v>
                </c:pt>
                <c:pt idx="15">
                  <c:v>15585.67</c:v>
                </c:pt>
                <c:pt idx="16">
                  <c:v>5180.99</c:v>
                </c:pt>
                <c:pt idx="17">
                  <c:v>17261.45</c:v>
                </c:pt>
                <c:pt idx="18">
                  <c:v>3716.58</c:v>
                </c:pt>
                <c:pt idx="19">
                  <c:v>4424.07</c:v>
                </c:pt>
                <c:pt idx="20">
                  <c:v>10414.99</c:v>
                </c:pt>
                <c:pt idx="21">
                  <c:v>19333.939999999999</c:v>
                </c:pt>
                <c:pt idx="22">
                  <c:v>10636.21</c:v>
                </c:pt>
                <c:pt idx="23">
                  <c:v>8959.66</c:v>
                </c:pt>
                <c:pt idx="24">
                  <c:v>1224.6600000000001</c:v>
                </c:pt>
                <c:pt idx="25">
                  <c:v>7310.4</c:v>
                </c:pt>
                <c:pt idx="26">
                  <c:v>13500.47</c:v>
                </c:pt>
                <c:pt idx="27">
                  <c:v>2226.71</c:v>
                </c:pt>
                <c:pt idx="28">
                  <c:v>13732</c:v>
                </c:pt>
                <c:pt idx="29">
                  <c:v>3884.68</c:v>
                </c:pt>
                <c:pt idx="30">
                  <c:v>1565.05</c:v>
                </c:pt>
                <c:pt idx="31">
                  <c:v>14372.79</c:v>
                </c:pt>
                <c:pt idx="32">
                  <c:v>14612.47</c:v>
                </c:pt>
                <c:pt idx="33">
                  <c:v>14269.12</c:v>
                </c:pt>
                <c:pt idx="34">
                  <c:v>14059.25</c:v>
                </c:pt>
                <c:pt idx="35">
                  <c:v>10398.9</c:v>
                </c:pt>
                <c:pt idx="36">
                  <c:v>8112.12</c:v>
                </c:pt>
                <c:pt idx="37">
                  <c:v>17236.240000000002</c:v>
                </c:pt>
                <c:pt idx="38">
                  <c:v>4281.04</c:v>
                </c:pt>
                <c:pt idx="39">
                  <c:v>15285.53</c:v>
                </c:pt>
                <c:pt idx="40">
                  <c:v>1019.21</c:v>
                </c:pt>
                <c:pt idx="41">
                  <c:v>9331.2000000000007</c:v>
                </c:pt>
                <c:pt idx="42">
                  <c:v>14153.08</c:v>
                </c:pt>
                <c:pt idx="43">
                  <c:v>19461.32</c:v>
                </c:pt>
                <c:pt idx="44">
                  <c:v>17856.97</c:v>
                </c:pt>
                <c:pt idx="45">
                  <c:v>10660.52</c:v>
                </c:pt>
                <c:pt idx="46">
                  <c:v>9341.2199999999993</c:v>
                </c:pt>
                <c:pt idx="47">
                  <c:v>18458.41</c:v>
                </c:pt>
                <c:pt idx="48">
                  <c:v>18497.77</c:v>
                </c:pt>
                <c:pt idx="49">
                  <c:v>18370.8</c:v>
                </c:pt>
                <c:pt idx="50">
                  <c:v>5088.8500000000004</c:v>
                </c:pt>
                <c:pt idx="51">
                  <c:v>16980.75</c:v>
                </c:pt>
                <c:pt idx="52">
                  <c:v>13999.95</c:v>
                </c:pt>
                <c:pt idx="53">
                  <c:v>19199.400000000001</c:v>
                </c:pt>
                <c:pt idx="54">
                  <c:v>18256.080000000002</c:v>
                </c:pt>
                <c:pt idx="55">
                  <c:v>15378.35</c:v>
                </c:pt>
                <c:pt idx="56">
                  <c:v>15303.38</c:v>
                </c:pt>
                <c:pt idx="57">
                  <c:v>6307.37</c:v>
                </c:pt>
                <c:pt idx="58">
                  <c:v>5985.06</c:v>
                </c:pt>
                <c:pt idx="59">
                  <c:v>14410.33</c:v>
                </c:pt>
                <c:pt idx="60">
                  <c:v>19368.099999999999</c:v>
                </c:pt>
                <c:pt idx="61">
                  <c:v>10070.52</c:v>
                </c:pt>
                <c:pt idx="62">
                  <c:v>5037.3900000000003</c:v>
                </c:pt>
                <c:pt idx="63">
                  <c:v>2516.52</c:v>
                </c:pt>
                <c:pt idx="64">
                  <c:v>12121.56</c:v>
                </c:pt>
                <c:pt idx="65">
                  <c:v>2838.56</c:v>
                </c:pt>
                <c:pt idx="66">
                  <c:v>14320.74</c:v>
                </c:pt>
                <c:pt idx="67">
                  <c:v>1411.8</c:v>
                </c:pt>
                <c:pt idx="68">
                  <c:v>14007.86</c:v>
                </c:pt>
                <c:pt idx="69">
                  <c:v>6959.5</c:v>
                </c:pt>
                <c:pt idx="70">
                  <c:v>14481.76</c:v>
                </c:pt>
                <c:pt idx="71">
                  <c:v>14368.58</c:v>
                </c:pt>
                <c:pt idx="72">
                  <c:v>13554.02</c:v>
                </c:pt>
                <c:pt idx="73">
                  <c:v>3239.36</c:v>
                </c:pt>
                <c:pt idx="74">
                  <c:v>9742.5499999999993</c:v>
                </c:pt>
                <c:pt idx="75">
                  <c:v>3126.49</c:v>
                </c:pt>
                <c:pt idx="76">
                  <c:v>12289.56</c:v>
                </c:pt>
                <c:pt idx="77">
                  <c:v>10667.18</c:v>
                </c:pt>
                <c:pt idx="78">
                  <c:v>4235.3100000000004</c:v>
                </c:pt>
                <c:pt idx="79">
                  <c:v>6617.21</c:v>
                </c:pt>
                <c:pt idx="80">
                  <c:v>10568.81</c:v>
                </c:pt>
                <c:pt idx="81">
                  <c:v>15460.7</c:v>
                </c:pt>
                <c:pt idx="82">
                  <c:v>4322.1099999999997</c:v>
                </c:pt>
                <c:pt idx="83">
                  <c:v>16163.38</c:v>
                </c:pt>
                <c:pt idx="84">
                  <c:v>18561.310000000001</c:v>
                </c:pt>
                <c:pt idx="85">
                  <c:v>12170.8</c:v>
                </c:pt>
                <c:pt idx="86">
                  <c:v>9377.7000000000007</c:v>
                </c:pt>
                <c:pt idx="87">
                  <c:v>11200.91</c:v>
                </c:pt>
                <c:pt idx="88">
                  <c:v>10970.84</c:v>
                </c:pt>
                <c:pt idx="89">
                  <c:v>17990.7</c:v>
                </c:pt>
                <c:pt idx="90">
                  <c:v>2026.25</c:v>
                </c:pt>
                <c:pt idx="91">
                  <c:v>7524.61</c:v>
                </c:pt>
                <c:pt idx="92">
                  <c:v>1434.19</c:v>
                </c:pt>
                <c:pt idx="93">
                  <c:v>9489.6</c:v>
                </c:pt>
                <c:pt idx="94">
                  <c:v>11299.43</c:v>
                </c:pt>
                <c:pt idx="95">
                  <c:v>8138.33</c:v>
                </c:pt>
                <c:pt idx="96">
                  <c:v>19706.59</c:v>
                </c:pt>
                <c:pt idx="97">
                  <c:v>16417.63</c:v>
                </c:pt>
                <c:pt idx="98">
                  <c:v>17680.75</c:v>
                </c:pt>
                <c:pt idx="99">
                  <c:v>11596.19</c:v>
                </c:pt>
              </c:numCache>
            </c:numRef>
          </c:yVal>
        </c:ser>
        <c:axId val="134399488"/>
        <c:axId val="134401024"/>
      </c:scatterChart>
      <c:valAx>
        <c:axId val="134399488"/>
        <c:scaling>
          <c:orientation val="minMax"/>
        </c:scaling>
        <c:axPos val="b"/>
        <c:numFmt formatCode="General" sourceLinked="1"/>
        <c:tickLblPos val="nextTo"/>
        <c:crossAx val="134401024"/>
        <c:crosses val="autoZero"/>
        <c:crossBetween val="midCat"/>
      </c:valAx>
      <c:valAx>
        <c:axId val="134401024"/>
        <c:scaling>
          <c:orientation val="minMax"/>
        </c:scaling>
        <c:axPos val="l"/>
        <c:majorGridlines/>
        <c:numFmt formatCode="General" sourceLinked="1"/>
        <c:tickLblPos val="nextTo"/>
        <c:crossAx val="1343994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Average of Flight Duration (hrs)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Table'!$F$3:$F$4</c:f>
              <c:strCache>
                <c:ptCount val="1"/>
                <c:pt idx="0">
                  <c:v>Average of Flight Duration (hrs)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6.482083333333331</c:v>
                </c:pt>
                <c:pt idx="1">
                  <c:v>6.8474999999999993</c:v>
                </c:pt>
                <c:pt idx="2">
                  <c:v>7.2435</c:v>
                </c:pt>
                <c:pt idx="3">
                  <c:v>7.4704545454545439</c:v>
                </c:pt>
                <c:pt idx="4">
                  <c:v>8.1714285714285708</c:v>
                </c:pt>
              </c:numCache>
            </c:numRef>
          </c:val>
        </c:ser>
        <c:ser>
          <c:idx val="1"/>
          <c:order val="1"/>
          <c:tx>
            <c:strRef>
              <c:f>'Pivot Table'!$G$3:$G$4</c:f>
              <c:strCache>
                <c:ptCount val="1"/>
                <c:pt idx="0">
                  <c:v>Average of Fuel Consumption (Liters)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Table'!$G$5:$G$10</c:f>
              <c:numCache>
                <c:formatCode>General</c:formatCode>
                <c:ptCount val="5"/>
                <c:pt idx="0">
                  <c:v>11779.483749999999</c:v>
                </c:pt>
                <c:pt idx="1">
                  <c:v>8998.7644999999993</c:v>
                </c:pt>
                <c:pt idx="2">
                  <c:v>9362.9519999999993</c:v>
                </c:pt>
                <c:pt idx="3">
                  <c:v>12722.363181818182</c:v>
                </c:pt>
                <c:pt idx="4">
                  <c:v>14288.105714285713</c:v>
                </c:pt>
              </c:numCache>
            </c:numRef>
          </c:val>
        </c:ser>
        <c:ser>
          <c:idx val="2"/>
          <c:order val="2"/>
          <c:tx>
            <c:strRef>
              <c:f>'Pivot Table'!$H$3:$H$4</c:f>
              <c:strCache>
                <c:ptCount val="1"/>
                <c:pt idx="0">
                  <c:v>Average of Ticket Revenue (NGN)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Table'!$H$5:$H$10</c:f>
              <c:numCache>
                <c:formatCode>General</c:formatCode>
                <c:ptCount val="5"/>
                <c:pt idx="0">
                  <c:v>2608630.5</c:v>
                </c:pt>
                <c:pt idx="1">
                  <c:v>3451121.95</c:v>
                </c:pt>
                <c:pt idx="2">
                  <c:v>2904529.65</c:v>
                </c:pt>
                <c:pt idx="3">
                  <c:v>3160735.8181818184</c:v>
                </c:pt>
                <c:pt idx="4">
                  <c:v>2236775.5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Table!PivotTable4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Aircraft</a:t>
            </a:r>
            <a:r>
              <a:rPr lang="en-US" sz="1400" baseline="0"/>
              <a:t> Model VS Fuel Efficiency</a:t>
            </a:r>
            <a:endParaRPr lang="en-US" sz="1400"/>
          </a:p>
        </c:rich>
      </c:tx>
      <c:layout>
        <c:manualLayout>
          <c:xMode val="edge"/>
          <c:yMode val="edge"/>
          <c:x val="2.3896825173279228E-2"/>
          <c:y val="3.834164158731318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Table'!$A$13:$A$18</c:f>
              <c:strCache>
                <c:ptCount val="5"/>
                <c:pt idx="0">
                  <c:v>Airbus A320</c:v>
                </c:pt>
                <c:pt idx="1">
                  <c:v>ATR 72</c:v>
                </c:pt>
                <c:pt idx="2">
                  <c:v>Boeing 737</c:v>
                </c:pt>
                <c:pt idx="3">
                  <c:v>Boeing 777</c:v>
                </c:pt>
                <c:pt idx="4">
                  <c:v>Embraer 145</c:v>
                </c:pt>
              </c:strCache>
            </c:strRef>
          </c:cat>
          <c:val>
            <c:numRef>
              <c:f>'Pivot Table'!$B$13:$B$18</c:f>
              <c:numCache>
                <c:formatCode>General</c:formatCode>
                <c:ptCount val="5"/>
                <c:pt idx="0">
                  <c:v>2.7725071020598898E-2</c:v>
                </c:pt>
                <c:pt idx="1">
                  <c:v>4.1787639521908344E-2</c:v>
                </c:pt>
                <c:pt idx="2">
                  <c:v>2.5520469229938642E-2</c:v>
                </c:pt>
                <c:pt idx="3">
                  <c:v>2.6994045392341161E-2</c:v>
                </c:pt>
                <c:pt idx="4">
                  <c:v>2.5545294070091547E-2</c:v>
                </c:pt>
              </c:numCache>
            </c:numRef>
          </c:val>
        </c:ser>
        <c:axId val="134414720"/>
        <c:axId val="134238976"/>
      </c:barChart>
      <c:catAx>
        <c:axId val="134414720"/>
        <c:scaling>
          <c:orientation val="minMax"/>
        </c:scaling>
        <c:axPos val="l"/>
        <c:tickLblPos val="nextTo"/>
        <c:crossAx val="134238976"/>
        <c:crosses val="autoZero"/>
        <c:auto val="1"/>
        <c:lblAlgn val="ctr"/>
        <c:lblOffset val="100"/>
      </c:catAx>
      <c:valAx>
        <c:axId val="134238976"/>
        <c:scaling>
          <c:orientation val="minMax"/>
        </c:scaling>
        <c:axPos val="b"/>
        <c:numFmt formatCode="General" sourceLinked="1"/>
        <c:tickLblPos val="nextTo"/>
        <c:crossAx val="134414720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Flight</a:t>
            </a:r>
            <a:r>
              <a:rPr lang="en-US" sz="1400" baseline="0"/>
              <a:t> Type VS AVG  fuel consumption &amp;  AVG ticket revenue</a:t>
            </a:r>
            <a:endParaRPr lang="en-US" sz="14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floor>
      <c:spPr>
        <a:noFill/>
        <a:ln w="9525">
          <a:noFill/>
        </a:ln>
      </c:spPr>
    </c:floor>
    <c:sideWall>
      <c:spPr>
        <a:noFill/>
        <a:ln w="25400">
          <a:noFill/>
        </a:ln>
      </c:spPr>
    </c:sideWall>
    <c:plotArea>
      <c:layout/>
      <c:bar3DChart>
        <c:barDir val="col"/>
        <c:grouping val="stacked"/>
        <c:ser>
          <c:idx val="0"/>
          <c:order val="0"/>
          <c:tx>
            <c:strRef>
              <c:f>'Pivot Table'!$F$12:$F$13</c:f>
              <c:strCache>
                <c:ptCount val="1"/>
                <c:pt idx="0">
                  <c:v>Average of Ticket Revenue (NGN)</c:v>
                </c:pt>
              </c:strCache>
            </c:strRef>
          </c:tx>
          <c:cat>
            <c:strRef>
              <c:f>'Pivot Table'!$E$14:$E$16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'Pivot Table'!$F$14:$F$16</c:f>
              <c:numCache>
                <c:formatCode>General</c:formatCode>
                <c:ptCount val="2"/>
                <c:pt idx="0">
                  <c:v>2927517.9</c:v>
                </c:pt>
                <c:pt idx="1">
                  <c:v>2891174.8833333333</c:v>
                </c:pt>
              </c:numCache>
            </c:numRef>
          </c:val>
        </c:ser>
        <c:ser>
          <c:idx val="1"/>
          <c:order val="1"/>
          <c:tx>
            <c:strRef>
              <c:f>'Pivot Table'!$G$12:$G$13</c:f>
              <c:strCache>
                <c:ptCount val="1"/>
                <c:pt idx="0">
                  <c:v>Average of Fuel Consumption (Liters)</c:v>
                </c:pt>
              </c:strCache>
            </c:strRef>
          </c:tx>
          <c:cat>
            <c:strRef>
              <c:f>'Pivot Table'!$E$14:$E$16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'Pivot Table'!$G$14:$G$16</c:f>
              <c:numCache>
                <c:formatCode>General</c:formatCode>
                <c:ptCount val="2"/>
                <c:pt idx="0">
                  <c:v>10261.646250000002</c:v>
                </c:pt>
                <c:pt idx="1">
                  <c:v>11990.026000000002</c:v>
                </c:pt>
              </c:numCache>
            </c:numRef>
          </c:val>
        </c:ser>
        <c:gapWidth val="55"/>
        <c:gapDepth val="55"/>
        <c:shape val="cylinder"/>
        <c:axId val="134272128"/>
        <c:axId val="134273664"/>
        <c:axId val="0"/>
      </c:bar3DChart>
      <c:catAx>
        <c:axId val="134272128"/>
        <c:scaling>
          <c:orientation val="minMax"/>
        </c:scaling>
        <c:axPos val="b"/>
        <c:majorTickMark val="none"/>
        <c:tickLblPos val="nextTo"/>
        <c:crossAx val="134273664"/>
        <c:crosses val="autoZero"/>
        <c:auto val="1"/>
        <c:lblAlgn val="ctr"/>
        <c:lblOffset val="100"/>
      </c:catAx>
      <c:valAx>
        <c:axId val="134273664"/>
        <c:scaling>
          <c:orientation val="minMax"/>
        </c:scaling>
        <c:axPos val="l"/>
        <c:numFmt formatCode="General" sourceLinked="1"/>
        <c:majorTickMark val="none"/>
        <c:tickLblPos val="nextTo"/>
        <c:crossAx val="134272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Airline VS Ticket Revenue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Table'!$A$4:$A$9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62607132</c:v>
                </c:pt>
                <c:pt idx="1">
                  <c:v>69022439</c:v>
                </c:pt>
                <c:pt idx="2">
                  <c:v>58090593</c:v>
                </c:pt>
                <c:pt idx="3">
                  <c:v>69536188</c:v>
                </c:pt>
                <c:pt idx="4">
                  <c:v>31314857</c:v>
                </c:pt>
              </c:numCache>
            </c:numRef>
          </c:val>
        </c:ser>
        <c:axId val="134706304"/>
        <c:axId val="134707840"/>
      </c:barChart>
      <c:catAx>
        <c:axId val="134706304"/>
        <c:scaling>
          <c:orientation val="minMax"/>
        </c:scaling>
        <c:axPos val="b"/>
        <c:tickLblPos val="nextTo"/>
        <c:crossAx val="134707840"/>
        <c:crosses val="autoZero"/>
        <c:auto val="1"/>
        <c:lblAlgn val="ctr"/>
        <c:lblOffset val="100"/>
      </c:catAx>
      <c:valAx>
        <c:axId val="134707840"/>
        <c:scaling>
          <c:orientation val="minMax"/>
        </c:scaling>
        <c:axPos val="l"/>
        <c:numFmt formatCode="General" sourceLinked="1"/>
        <c:tickLblPos val="nextTo"/>
        <c:crossAx val="134706304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050"/>
              <a:t>Flight Duration</a:t>
            </a:r>
            <a:r>
              <a:rPr lang="en-US" sz="1050" baseline="0"/>
              <a:t> VS </a:t>
            </a:r>
            <a:r>
              <a:rPr lang="en-US" sz="1050"/>
              <a:t>Fuel Consumption (Liters)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'Cleaned Aviation Dataset'!$F$1</c:f>
              <c:strCache>
                <c:ptCount val="1"/>
                <c:pt idx="0">
                  <c:v>Fuel Consumption (Liters)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4228122462479"/>
                  <c:y val="-0.29619256761905366"/>
                </c:manualLayout>
              </c:layout>
              <c:numFmt formatCode="General" sourceLinked="0"/>
            </c:trendlineLbl>
          </c:trendline>
          <c:xVal>
            <c:numRef>
              <c:f>'Cleaned Aviation Dataset'!$D$2:$D$101</c:f>
              <c:numCache>
                <c:formatCode>General</c:formatCode>
                <c:ptCount val="100"/>
                <c:pt idx="0">
                  <c:v>11.02</c:v>
                </c:pt>
                <c:pt idx="1">
                  <c:v>7.88</c:v>
                </c:pt>
                <c:pt idx="2">
                  <c:v>11.61</c:v>
                </c:pt>
                <c:pt idx="3">
                  <c:v>5.03</c:v>
                </c:pt>
                <c:pt idx="4">
                  <c:v>9.0500000000000007</c:v>
                </c:pt>
                <c:pt idx="5">
                  <c:v>11.85</c:v>
                </c:pt>
                <c:pt idx="6">
                  <c:v>8.59</c:v>
                </c:pt>
                <c:pt idx="7">
                  <c:v>3.35</c:v>
                </c:pt>
                <c:pt idx="8">
                  <c:v>5.56</c:v>
                </c:pt>
                <c:pt idx="9">
                  <c:v>9.11</c:v>
                </c:pt>
                <c:pt idx="10">
                  <c:v>10.36</c:v>
                </c:pt>
                <c:pt idx="11">
                  <c:v>7.85</c:v>
                </c:pt>
                <c:pt idx="12">
                  <c:v>1.47</c:v>
                </c:pt>
                <c:pt idx="13">
                  <c:v>10.06</c:v>
                </c:pt>
                <c:pt idx="14">
                  <c:v>6.56</c:v>
                </c:pt>
                <c:pt idx="15">
                  <c:v>10.38</c:v>
                </c:pt>
                <c:pt idx="16">
                  <c:v>6.3</c:v>
                </c:pt>
                <c:pt idx="17">
                  <c:v>8.75</c:v>
                </c:pt>
                <c:pt idx="18">
                  <c:v>3.98</c:v>
                </c:pt>
                <c:pt idx="19">
                  <c:v>10.210000000000001</c:v>
                </c:pt>
                <c:pt idx="20">
                  <c:v>10.06</c:v>
                </c:pt>
                <c:pt idx="21">
                  <c:v>8.17</c:v>
                </c:pt>
                <c:pt idx="22">
                  <c:v>3.07</c:v>
                </c:pt>
                <c:pt idx="23">
                  <c:v>4.22</c:v>
                </c:pt>
                <c:pt idx="24">
                  <c:v>5.33</c:v>
                </c:pt>
                <c:pt idx="25">
                  <c:v>11.34</c:v>
                </c:pt>
                <c:pt idx="26">
                  <c:v>9.77</c:v>
                </c:pt>
                <c:pt idx="27">
                  <c:v>8.5</c:v>
                </c:pt>
                <c:pt idx="28">
                  <c:v>11.87</c:v>
                </c:pt>
                <c:pt idx="29">
                  <c:v>9.75</c:v>
                </c:pt>
                <c:pt idx="30">
                  <c:v>2.21</c:v>
                </c:pt>
                <c:pt idx="31">
                  <c:v>6.4</c:v>
                </c:pt>
                <c:pt idx="32">
                  <c:v>10.45</c:v>
                </c:pt>
                <c:pt idx="33">
                  <c:v>6.52</c:v>
                </c:pt>
                <c:pt idx="34">
                  <c:v>9.33</c:v>
                </c:pt>
                <c:pt idx="35">
                  <c:v>6.02</c:v>
                </c:pt>
                <c:pt idx="36">
                  <c:v>4.07</c:v>
                </c:pt>
                <c:pt idx="37">
                  <c:v>10.08</c:v>
                </c:pt>
                <c:pt idx="38">
                  <c:v>5.55</c:v>
                </c:pt>
                <c:pt idx="39">
                  <c:v>2.96</c:v>
                </c:pt>
                <c:pt idx="40">
                  <c:v>8.44</c:v>
                </c:pt>
                <c:pt idx="41">
                  <c:v>11.21</c:v>
                </c:pt>
                <c:pt idx="42">
                  <c:v>10.97</c:v>
                </c:pt>
                <c:pt idx="43">
                  <c:v>7.51</c:v>
                </c:pt>
                <c:pt idx="44">
                  <c:v>2.56</c:v>
                </c:pt>
                <c:pt idx="45">
                  <c:v>11.52</c:v>
                </c:pt>
                <c:pt idx="46">
                  <c:v>10.64</c:v>
                </c:pt>
                <c:pt idx="47">
                  <c:v>6.26</c:v>
                </c:pt>
                <c:pt idx="48">
                  <c:v>1.52</c:v>
                </c:pt>
                <c:pt idx="49">
                  <c:v>2.83</c:v>
                </c:pt>
                <c:pt idx="50">
                  <c:v>2.27</c:v>
                </c:pt>
                <c:pt idx="51">
                  <c:v>9.0500000000000007</c:v>
                </c:pt>
                <c:pt idx="52">
                  <c:v>7.61</c:v>
                </c:pt>
                <c:pt idx="53">
                  <c:v>6.31</c:v>
                </c:pt>
                <c:pt idx="54">
                  <c:v>6</c:v>
                </c:pt>
                <c:pt idx="55">
                  <c:v>7.91</c:v>
                </c:pt>
                <c:pt idx="56">
                  <c:v>2.16</c:v>
                </c:pt>
                <c:pt idx="57">
                  <c:v>7.92</c:v>
                </c:pt>
                <c:pt idx="58">
                  <c:v>10.220000000000001</c:v>
                </c:pt>
                <c:pt idx="59">
                  <c:v>7.51</c:v>
                </c:pt>
                <c:pt idx="60">
                  <c:v>9.7799999999999994</c:v>
                </c:pt>
                <c:pt idx="61">
                  <c:v>3.06</c:v>
                </c:pt>
                <c:pt idx="62">
                  <c:v>6.58</c:v>
                </c:pt>
                <c:pt idx="63">
                  <c:v>5.36</c:v>
                </c:pt>
                <c:pt idx="64">
                  <c:v>7.49</c:v>
                </c:pt>
                <c:pt idx="65">
                  <c:v>11.32</c:v>
                </c:pt>
                <c:pt idx="66">
                  <c:v>10.68</c:v>
                </c:pt>
                <c:pt idx="67">
                  <c:v>2.87</c:v>
                </c:pt>
                <c:pt idx="68">
                  <c:v>2.85</c:v>
                </c:pt>
                <c:pt idx="69">
                  <c:v>2.83</c:v>
                </c:pt>
                <c:pt idx="70">
                  <c:v>11.1</c:v>
                </c:pt>
                <c:pt idx="71">
                  <c:v>10.72</c:v>
                </c:pt>
                <c:pt idx="72">
                  <c:v>8.51</c:v>
                </c:pt>
                <c:pt idx="73">
                  <c:v>3.03</c:v>
                </c:pt>
                <c:pt idx="74">
                  <c:v>10.96</c:v>
                </c:pt>
                <c:pt idx="75">
                  <c:v>4.1100000000000003</c:v>
                </c:pt>
                <c:pt idx="76">
                  <c:v>6.06</c:v>
                </c:pt>
                <c:pt idx="77">
                  <c:v>11.45</c:v>
                </c:pt>
                <c:pt idx="78">
                  <c:v>2.27</c:v>
                </c:pt>
                <c:pt idx="79">
                  <c:v>1.1399999999999999</c:v>
                </c:pt>
                <c:pt idx="80">
                  <c:v>11.35</c:v>
                </c:pt>
                <c:pt idx="81">
                  <c:v>8.5500000000000007</c:v>
                </c:pt>
                <c:pt idx="82">
                  <c:v>2.99</c:v>
                </c:pt>
                <c:pt idx="83">
                  <c:v>3</c:v>
                </c:pt>
                <c:pt idx="84">
                  <c:v>6.38</c:v>
                </c:pt>
                <c:pt idx="85">
                  <c:v>6.84</c:v>
                </c:pt>
                <c:pt idx="86">
                  <c:v>11.56</c:v>
                </c:pt>
                <c:pt idx="87">
                  <c:v>1.22</c:v>
                </c:pt>
                <c:pt idx="88">
                  <c:v>10.25</c:v>
                </c:pt>
                <c:pt idx="89">
                  <c:v>3.69</c:v>
                </c:pt>
                <c:pt idx="90">
                  <c:v>10.8</c:v>
                </c:pt>
                <c:pt idx="91">
                  <c:v>8.85</c:v>
                </c:pt>
                <c:pt idx="92">
                  <c:v>9.48</c:v>
                </c:pt>
                <c:pt idx="93">
                  <c:v>9.01</c:v>
                </c:pt>
                <c:pt idx="94">
                  <c:v>4.93</c:v>
                </c:pt>
                <c:pt idx="95">
                  <c:v>7.7</c:v>
                </c:pt>
                <c:pt idx="96">
                  <c:v>5.68</c:v>
                </c:pt>
                <c:pt idx="97">
                  <c:v>4.12</c:v>
                </c:pt>
                <c:pt idx="98">
                  <c:v>7</c:v>
                </c:pt>
                <c:pt idx="99">
                  <c:v>5.51</c:v>
                </c:pt>
              </c:numCache>
            </c:numRef>
          </c:xVal>
          <c:yVal>
            <c:numRef>
              <c:f>'Cleaned Aviation Dataset'!$F$2:$F$101</c:f>
              <c:numCache>
                <c:formatCode>General</c:formatCode>
                <c:ptCount val="100"/>
                <c:pt idx="0">
                  <c:v>1163.5999999999999</c:v>
                </c:pt>
                <c:pt idx="1">
                  <c:v>16627.46</c:v>
                </c:pt>
                <c:pt idx="2">
                  <c:v>19902.400000000001</c:v>
                </c:pt>
                <c:pt idx="3">
                  <c:v>6422.56</c:v>
                </c:pt>
                <c:pt idx="4">
                  <c:v>2565.38</c:v>
                </c:pt>
                <c:pt idx="5">
                  <c:v>17904.8</c:v>
                </c:pt>
                <c:pt idx="6">
                  <c:v>10215.33</c:v>
                </c:pt>
                <c:pt idx="7">
                  <c:v>17186.759999999998</c:v>
                </c:pt>
                <c:pt idx="8">
                  <c:v>17815.78</c:v>
                </c:pt>
                <c:pt idx="9">
                  <c:v>15190.5</c:v>
                </c:pt>
                <c:pt idx="10">
                  <c:v>7438.91</c:v>
                </c:pt>
                <c:pt idx="11">
                  <c:v>18145.52</c:v>
                </c:pt>
                <c:pt idx="12">
                  <c:v>10235.84</c:v>
                </c:pt>
                <c:pt idx="13">
                  <c:v>19669.509999999998</c:v>
                </c:pt>
                <c:pt idx="14">
                  <c:v>16662.650000000001</c:v>
                </c:pt>
                <c:pt idx="15">
                  <c:v>15585.67</c:v>
                </c:pt>
                <c:pt idx="16">
                  <c:v>5180.99</c:v>
                </c:pt>
                <c:pt idx="17">
                  <c:v>17261.45</c:v>
                </c:pt>
                <c:pt idx="18">
                  <c:v>3716.58</c:v>
                </c:pt>
                <c:pt idx="19">
                  <c:v>4424.07</c:v>
                </c:pt>
                <c:pt idx="20">
                  <c:v>10414.99</c:v>
                </c:pt>
                <c:pt idx="21">
                  <c:v>19333.939999999999</c:v>
                </c:pt>
                <c:pt idx="22">
                  <c:v>10636.21</c:v>
                </c:pt>
                <c:pt idx="23">
                  <c:v>8959.66</c:v>
                </c:pt>
                <c:pt idx="24">
                  <c:v>1224.6600000000001</c:v>
                </c:pt>
                <c:pt idx="25">
                  <c:v>7310.4</c:v>
                </c:pt>
                <c:pt idx="26">
                  <c:v>13500.47</c:v>
                </c:pt>
                <c:pt idx="27">
                  <c:v>2226.71</c:v>
                </c:pt>
                <c:pt idx="28">
                  <c:v>13732</c:v>
                </c:pt>
                <c:pt idx="29">
                  <c:v>3884.68</c:v>
                </c:pt>
                <c:pt idx="30">
                  <c:v>1565.05</c:v>
                </c:pt>
                <c:pt idx="31">
                  <c:v>14372.79</c:v>
                </c:pt>
                <c:pt idx="32">
                  <c:v>14612.47</c:v>
                </c:pt>
                <c:pt idx="33">
                  <c:v>14269.12</c:v>
                </c:pt>
                <c:pt idx="34">
                  <c:v>14059.25</c:v>
                </c:pt>
                <c:pt idx="35">
                  <c:v>10398.9</c:v>
                </c:pt>
                <c:pt idx="36">
                  <c:v>8112.12</c:v>
                </c:pt>
                <c:pt idx="37">
                  <c:v>17236.240000000002</c:v>
                </c:pt>
                <c:pt idx="38">
                  <c:v>4281.04</c:v>
                </c:pt>
                <c:pt idx="39">
                  <c:v>15285.53</c:v>
                </c:pt>
                <c:pt idx="40">
                  <c:v>1019.21</c:v>
                </c:pt>
                <c:pt idx="41">
                  <c:v>9331.2000000000007</c:v>
                </c:pt>
                <c:pt idx="42">
                  <c:v>14153.08</c:v>
                </c:pt>
                <c:pt idx="43">
                  <c:v>19461.32</c:v>
                </c:pt>
                <c:pt idx="44">
                  <c:v>17856.97</c:v>
                </c:pt>
                <c:pt idx="45">
                  <c:v>10660.52</c:v>
                </c:pt>
                <c:pt idx="46">
                  <c:v>9341.2199999999993</c:v>
                </c:pt>
                <c:pt idx="47">
                  <c:v>18458.41</c:v>
                </c:pt>
                <c:pt idx="48">
                  <c:v>18497.77</c:v>
                </c:pt>
                <c:pt idx="49">
                  <c:v>18370.8</c:v>
                </c:pt>
                <c:pt idx="50">
                  <c:v>5088.8500000000004</c:v>
                </c:pt>
                <c:pt idx="51">
                  <c:v>16980.75</c:v>
                </c:pt>
                <c:pt idx="52">
                  <c:v>13999.95</c:v>
                </c:pt>
                <c:pt idx="53">
                  <c:v>19199.400000000001</c:v>
                </c:pt>
                <c:pt idx="54">
                  <c:v>18256.080000000002</c:v>
                </c:pt>
                <c:pt idx="55">
                  <c:v>15378.35</c:v>
                </c:pt>
                <c:pt idx="56">
                  <c:v>15303.38</c:v>
                </c:pt>
                <c:pt idx="57">
                  <c:v>6307.37</c:v>
                </c:pt>
                <c:pt idx="58">
                  <c:v>5985.06</c:v>
                </c:pt>
                <c:pt idx="59">
                  <c:v>14410.33</c:v>
                </c:pt>
                <c:pt idx="60">
                  <c:v>19368.099999999999</c:v>
                </c:pt>
                <c:pt idx="61">
                  <c:v>10070.52</c:v>
                </c:pt>
                <c:pt idx="62">
                  <c:v>5037.3900000000003</c:v>
                </c:pt>
                <c:pt idx="63">
                  <c:v>2516.52</c:v>
                </c:pt>
                <c:pt idx="64">
                  <c:v>12121.56</c:v>
                </c:pt>
                <c:pt idx="65">
                  <c:v>2838.56</c:v>
                </c:pt>
                <c:pt idx="66">
                  <c:v>14320.74</c:v>
                </c:pt>
                <c:pt idx="67">
                  <c:v>1411.8</c:v>
                </c:pt>
                <c:pt idx="68">
                  <c:v>14007.86</c:v>
                </c:pt>
                <c:pt idx="69">
                  <c:v>6959.5</c:v>
                </c:pt>
                <c:pt idx="70">
                  <c:v>14481.76</c:v>
                </c:pt>
                <c:pt idx="71">
                  <c:v>14368.58</c:v>
                </c:pt>
                <c:pt idx="72">
                  <c:v>13554.02</c:v>
                </c:pt>
                <c:pt idx="73">
                  <c:v>3239.36</c:v>
                </c:pt>
                <c:pt idx="74">
                  <c:v>9742.5499999999993</c:v>
                </c:pt>
                <c:pt idx="75">
                  <c:v>3126.49</c:v>
                </c:pt>
                <c:pt idx="76">
                  <c:v>12289.56</c:v>
                </c:pt>
                <c:pt idx="77">
                  <c:v>10667.18</c:v>
                </c:pt>
                <c:pt idx="78">
                  <c:v>4235.3100000000004</c:v>
                </c:pt>
                <c:pt idx="79">
                  <c:v>6617.21</c:v>
                </c:pt>
                <c:pt idx="80">
                  <c:v>10568.81</c:v>
                </c:pt>
                <c:pt idx="81">
                  <c:v>15460.7</c:v>
                </c:pt>
                <c:pt idx="82">
                  <c:v>4322.1099999999997</c:v>
                </c:pt>
                <c:pt idx="83">
                  <c:v>16163.38</c:v>
                </c:pt>
                <c:pt idx="84">
                  <c:v>18561.310000000001</c:v>
                </c:pt>
                <c:pt idx="85">
                  <c:v>12170.8</c:v>
                </c:pt>
                <c:pt idx="86">
                  <c:v>9377.7000000000007</c:v>
                </c:pt>
                <c:pt idx="87">
                  <c:v>11200.91</c:v>
                </c:pt>
                <c:pt idx="88">
                  <c:v>10970.84</c:v>
                </c:pt>
                <c:pt idx="89">
                  <c:v>17990.7</c:v>
                </c:pt>
                <c:pt idx="90">
                  <c:v>2026.25</c:v>
                </c:pt>
                <c:pt idx="91">
                  <c:v>7524.61</c:v>
                </c:pt>
                <c:pt idx="92">
                  <c:v>1434.19</c:v>
                </c:pt>
                <c:pt idx="93">
                  <c:v>9489.6</c:v>
                </c:pt>
                <c:pt idx="94">
                  <c:v>11299.43</c:v>
                </c:pt>
                <c:pt idx="95">
                  <c:v>8138.33</c:v>
                </c:pt>
                <c:pt idx="96">
                  <c:v>19706.59</c:v>
                </c:pt>
                <c:pt idx="97">
                  <c:v>16417.63</c:v>
                </c:pt>
                <c:pt idx="98">
                  <c:v>17680.75</c:v>
                </c:pt>
                <c:pt idx="99">
                  <c:v>11596.19</c:v>
                </c:pt>
              </c:numCache>
            </c:numRef>
          </c:yVal>
        </c:ser>
        <c:axId val="134735360"/>
        <c:axId val="134736896"/>
      </c:scatterChart>
      <c:valAx>
        <c:axId val="134735360"/>
        <c:scaling>
          <c:orientation val="minMax"/>
        </c:scaling>
        <c:axPos val="b"/>
        <c:numFmt formatCode="General" sourceLinked="1"/>
        <c:tickLblPos val="nextTo"/>
        <c:crossAx val="134736896"/>
        <c:crosses val="autoZero"/>
        <c:crossBetween val="midCat"/>
      </c:valAx>
      <c:valAx>
        <c:axId val="134736896"/>
        <c:scaling>
          <c:orientation val="minMax"/>
        </c:scaling>
        <c:axPos val="l"/>
        <c:majorGridlines/>
        <c:numFmt formatCode="General" sourceLinked="1"/>
        <c:tickLblPos val="nextTo"/>
        <c:crossAx val="13473536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61422246882333342"/>
          <c:y val="0.36257253018824093"/>
          <c:w val="0.34763611436568687"/>
          <c:h val="0.60350622593285708"/>
        </c:manualLayout>
      </c:layout>
    </c:legend>
    <c:plotVisOnly val="1"/>
  </c:chart>
  <c:spPr>
    <a:noFill/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Table!PivotTable3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Average of Flight Duration (hrs)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Table'!$F$3:$F$4</c:f>
              <c:strCache>
                <c:ptCount val="1"/>
                <c:pt idx="0">
                  <c:v>Average of Flight Duration (hrs)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6.482083333333331</c:v>
                </c:pt>
                <c:pt idx="1">
                  <c:v>6.8474999999999993</c:v>
                </c:pt>
                <c:pt idx="2">
                  <c:v>7.2435</c:v>
                </c:pt>
                <c:pt idx="3">
                  <c:v>7.4704545454545439</c:v>
                </c:pt>
                <c:pt idx="4">
                  <c:v>8.1714285714285708</c:v>
                </c:pt>
              </c:numCache>
            </c:numRef>
          </c:val>
        </c:ser>
        <c:ser>
          <c:idx val="1"/>
          <c:order val="1"/>
          <c:tx>
            <c:strRef>
              <c:f>'Pivot Table'!$G$3:$G$4</c:f>
              <c:strCache>
                <c:ptCount val="1"/>
                <c:pt idx="0">
                  <c:v>Average of Fuel Consumption (Liters)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Table'!$G$5:$G$10</c:f>
              <c:numCache>
                <c:formatCode>General</c:formatCode>
                <c:ptCount val="5"/>
                <c:pt idx="0">
                  <c:v>11779.483749999999</c:v>
                </c:pt>
                <c:pt idx="1">
                  <c:v>8998.7644999999993</c:v>
                </c:pt>
                <c:pt idx="2">
                  <c:v>9362.9519999999993</c:v>
                </c:pt>
                <c:pt idx="3">
                  <c:v>12722.363181818182</c:v>
                </c:pt>
                <c:pt idx="4">
                  <c:v>14288.105714285713</c:v>
                </c:pt>
              </c:numCache>
            </c:numRef>
          </c:val>
        </c:ser>
        <c:ser>
          <c:idx val="2"/>
          <c:order val="2"/>
          <c:tx>
            <c:strRef>
              <c:f>'Pivot Table'!$H$3:$H$4</c:f>
              <c:strCache>
                <c:ptCount val="1"/>
                <c:pt idx="0">
                  <c:v>Average of Ticket Revenue (NGN)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'Pivot Table'!$E$5:$E$10</c:f>
              <c:strCache>
                <c:ptCount val="5"/>
                <c:pt idx="0">
                  <c:v>Air Peace</c:v>
                </c:pt>
                <c:pt idx="1">
                  <c:v>Arik Air</c:v>
                </c:pt>
                <c:pt idx="2">
                  <c:v>Dana Air</c:v>
                </c:pt>
                <c:pt idx="3">
                  <c:v>Ibom Air</c:v>
                </c:pt>
                <c:pt idx="4">
                  <c:v>Max Air</c:v>
                </c:pt>
              </c:strCache>
            </c:strRef>
          </c:cat>
          <c:val>
            <c:numRef>
              <c:f>'Pivot Table'!$H$5:$H$10</c:f>
              <c:numCache>
                <c:formatCode>General</c:formatCode>
                <c:ptCount val="5"/>
                <c:pt idx="0">
                  <c:v>2608630.5</c:v>
                </c:pt>
                <c:pt idx="1">
                  <c:v>3451121.95</c:v>
                </c:pt>
                <c:pt idx="2">
                  <c:v>2904529.65</c:v>
                </c:pt>
                <c:pt idx="3">
                  <c:v>3160735.8181818184</c:v>
                </c:pt>
                <c:pt idx="4">
                  <c:v>2236775.5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67396024996515769"/>
          <c:y val="0.37085689179553338"/>
          <c:w val="0.29922156885656026"/>
          <c:h val="0.55136525039794249"/>
        </c:manualLayout>
      </c:layout>
    </c:legend>
    <c:plotVisOnly val="1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Aircraft</a:t>
            </a:r>
            <a:r>
              <a:rPr lang="en-US" sz="1200" baseline="0"/>
              <a:t> Model VS Fuel Efficiency</a:t>
            </a:r>
            <a:endParaRPr lang="en-US" sz="1200"/>
          </a:p>
        </c:rich>
      </c:tx>
      <c:layout>
        <c:manualLayout>
          <c:xMode val="edge"/>
          <c:yMode val="edge"/>
          <c:x val="2.3896825173279238E-2"/>
          <c:y val="3.8341641587313201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Table'!$A$13:$A$18</c:f>
              <c:strCache>
                <c:ptCount val="5"/>
                <c:pt idx="0">
                  <c:v>Airbus A320</c:v>
                </c:pt>
                <c:pt idx="1">
                  <c:v>ATR 72</c:v>
                </c:pt>
                <c:pt idx="2">
                  <c:v>Boeing 737</c:v>
                </c:pt>
                <c:pt idx="3">
                  <c:v>Boeing 777</c:v>
                </c:pt>
                <c:pt idx="4">
                  <c:v>Embraer 145</c:v>
                </c:pt>
              </c:strCache>
            </c:strRef>
          </c:cat>
          <c:val>
            <c:numRef>
              <c:f>'Pivot Table'!$B$13:$B$18</c:f>
              <c:numCache>
                <c:formatCode>General</c:formatCode>
                <c:ptCount val="5"/>
                <c:pt idx="0">
                  <c:v>2.7725071020598898E-2</c:v>
                </c:pt>
                <c:pt idx="1">
                  <c:v>4.1787639521908344E-2</c:v>
                </c:pt>
                <c:pt idx="2">
                  <c:v>2.5520469229938642E-2</c:v>
                </c:pt>
                <c:pt idx="3">
                  <c:v>2.6994045392341161E-2</c:v>
                </c:pt>
                <c:pt idx="4">
                  <c:v>2.5545294070091547E-2</c:v>
                </c:pt>
              </c:numCache>
            </c:numRef>
          </c:val>
        </c:ser>
        <c:axId val="134776704"/>
        <c:axId val="134786048"/>
      </c:barChart>
      <c:catAx>
        <c:axId val="134776704"/>
        <c:scaling>
          <c:orientation val="minMax"/>
        </c:scaling>
        <c:axPos val="l"/>
        <c:tickLblPos val="nextTo"/>
        <c:crossAx val="134786048"/>
        <c:crosses val="autoZero"/>
        <c:auto val="1"/>
        <c:lblAlgn val="ctr"/>
        <c:lblOffset val="100"/>
      </c:catAx>
      <c:valAx>
        <c:axId val="134786048"/>
        <c:scaling>
          <c:orientation val="minMax"/>
        </c:scaling>
        <c:axPos val="b"/>
        <c:numFmt formatCode="General" sourceLinked="1"/>
        <c:tickLblPos val="nextTo"/>
        <c:crossAx val="134776704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 Aviation Dataset 1.xlsx]Pivot Table!PivotTable5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Flight</a:t>
            </a:r>
            <a:r>
              <a:rPr lang="en-US" sz="1200" baseline="0"/>
              <a:t> Type VS AVG  fuel consumption &amp;  AVG ticket revenue</a:t>
            </a:r>
            <a:endParaRPr lang="en-US" sz="12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view3D>
      <c:rAngAx val="1"/>
    </c:view3D>
    <c:floor>
      <c:spPr>
        <a:noFill/>
        <a:ln w="9525">
          <a:noFill/>
        </a:ln>
      </c:spPr>
    </c:floor>
    <c:sideWall>
      <c:spPr>
        <a:noFill/>
        <a:ln w="25400">
          <a:noFill/>
        </a:ln>
      </c:spPr>
    </c:sideWall>
    <c:plotArea>
      <c:layout/>
      <c:bar3DChart>
        <c:barDir val="col"/>
        <c:grouping val="stacked"/>
        <c:ser>
          <c:idx val="0"/>
          <c:order val="0"/>
          <c:tx>
            <c:strRef>
              <c:f>'Pivot Table'!$F$12:$F$13</c:f>
              <c:strCache>
                <c:ptCount val="1"/>
                <c:pt idx="0">
                  <c:v>Average of Ticket Revenue (NGN)</c:v>
                </c:pt>
              </c:strCache>
            </c:strRef>
          </c:tx>
          <c:cat>
            <c:strRef>
              <c:f>'Pivot Table'!$E$14:$E$16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'Pivot Table'!$F$14:$F$16</c:f>
              <c:numCache>
                <c:formatCode>General</c:formatCode>
                <c:ptCount val="2"/>
                <c:pt idx="0">
                  <c:v>2927517.9</c:v>
                </c:pt>
                <c:pt idx="1">
                  <c:v>2891174.8833333333</c:v>
                </c:pt>
              </c:numCache>
            </c:numRef>
          </c:val>
        </c:ser>
        <c:ser>
          <c:idx val="1"/>
          <c:order val="1"/>
          <c:tx>
            <c:strRef>
              <c:f>'Pivot Table'!$G$12:$G$13</c:f>
              <c:strCache>
                <c:ptCount val="1"/>
                <c:pt idx="0">
                  <c:v>Average of Fuel Consumption (Liters)</c:v>
                </c:pt>
              </c:strCache>
            </c:strRef>
          </c:tx>
          <c:cat>
            <c:strRef>
              <c:f>'Pivot Table'!$E$14:$E$16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'Pivot Table'!$G$14:$G$16</c:f>
              <c:numCache>
                <c:formatCode>General</c:formatCode>
                <c:ptCount val="2"/>
                <c:pt idx="0">
                  <c:v>10261.646250000002</c:v>
                </c:pt>
                <c:pt idx="1">
                  <c:v>11990.026000000002</c:v>
                </c:pt>
              </c:numCache>
            </c:numRef>
          </c:val>
        </c:ser>
        <c:gapWidth val="55"/>
        <c:gapDepth val="55"/>
        <c:shape val="cylinder"/>
        <c:axId val="134811008"/>
        <c:axId val="134829184"/>
        <c:axId val="0"/>
      </c:bar3DChart>
      <c:catAx>
        <c:axId val="134811008"/>
        <c:scaling>
          <c:orientation val="minMax"/>
        </c:scaling>
        <c:axPos val="b"/>
        <c:majorTickMark val="none"/>
        <c:tickLblPos val="nextTo"/>
        <c:crossAx val="134829184"/>
        <c:crosses val="autoZero"/>
        <c:auto val="1"/>
        <c:lblAlgn val="ctr"/>
        <c:lblOffset val="100"/>
      </c:catAx>
      <c:valAx>
        <c:axId val="134829184"/>
        <c:scaling>
          <c:orientation val="minMax"/>
        </c:scaling>
        <c:axPos val="l"/>
        <c:numFmt formatCode="General" sourceLinked="1"/>
        <c:majorTickMark val="none"/>
        <c:tickLblPos val="nextTo"/>
        <c:crossAx val="1348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555569709336931"/>
          <c:y val="0.33550310811035255"/>
          <c:w val="0.34666654534854086"/>
          <c:h val="0.61943344370727149"/>
        </c:manualLayout>
      </c:layout>
    </c:legend>
    <c:plotVisOnly val="1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83542</xdr:colOff>
      <xdr:row>19</xdr:row>
      <xdr:rowOff>1</xdr:rowOff>
    </xdr:from>
    <xdr:to>
      <xdr:col>7</xdr:col>
      <xdr:colOff>1640416</xdr:colOff>
      <xdr:row>29</xdr:row>
      <xdr:rowOff>141569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561975</xdr:colOff>
      <xdr:row>14</xdr:row>
      <xdr:rowOff>16422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438151</xdr:colOff>
      <xdr:row>2</xdr:row>
      <xdr:rowOff>47626</xdr:rowOff>
    </xdr:from>
    <xdr:to>
      <xdr:col>14</xdr:col>
      <xdr:colOff>495301</xdr:colOff>
      <xdr:row>14</xdr:row>
      <xdr:rowOff>46614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47625</xdr:colOff>
      <xdr:row>30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581027</xdr:colOff>
      <xdr:row>17</xdr:row>
      <xdr:rowOff>19050</xdr:rowOff>
    </xdr:from>
    <xdr:to>
      <xdr:col>14</xdr:col>
      <xdr:colOff>328450</xdr:colOff>
      <xdr:row>29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558362</xdr:colOff>
      <xdr:row>1</xdr:row>
      <xdr:rowOff>180647</xdr:rowOff>
    </xdr:from>
    <xdr:to>
      <xdr:col>22</xdr:col>
      <xdr:colOff>541940</xdr:colOff>
      <xdr:row>16</xdr:row>
      <xdr:rowOff>64595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</xdr:row>
      <xdr:rowOff>0</xdr:rowOff>
    </xdr:from>
    <xdr:to>
      <xdr:col>16</xdr:col>
      <xdr:colOff>85725</xdr:colOff>
      <xdr:row>23</xdr:row>
      <xdr:rowOff>133350</xdr:rowOff>
    </xdr:to>
    <xdr:sp macro="" textlink="">
      <xdr:nvSpPr>
        <xdr:cNvPr id="2" name="Rounded Rectangle 1"/>
        <xdr:cNvSpPr/>
      </xdr:nvSpPr>
      <xdr:spPr>
        <a:xfrm>
          <a:off x="876300" y="190500"/>
          <a:ext cx="8963025" cy="4324350"/>
        </a:xfrm>
        <a:prstGeom prst="roundRect">
          <a:avLst>
            <a:gd name="adj" fmla="val 10059"/>
          </a:avLst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314325</xdr:colOff>
      <xdr:row>1</xdr:row>
      <xdr:rowOff>47626</xdr:rowOff>
    </xdr:from>
    <xdr:to>
      <xdr:col>16</xdr:col>
      <xdr:colOff>47625</xdr:colOff>
      <xdr:row>23</xdr:row>
      <xdr:rowOff>76200</xdr:rowOff>
    </xdr:to>
    <xdr:sp macro="" textlink="">
      <xdr:nvSpPr>
        <xdr:cNvPr id="3" name="Rounded Rectangle 2"/>
        <xdr:cNvSpPr/>
      </xdr:nvSpPr>
      <xdr:spPr>
        <a:xfrm>
          <a:off x="927800" y="241355"/>
          <a:ext cx="8935418" cy="4290608"/>
        </a:xfrm>
        <a:prstGeom prst="roundRect">
          <a:avLst>
            <a:gd name="adj" fmla="val 10059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209873</xdr:colOff>
      <xdr:row>1</xdr:row>
      <xdr:rowOff>165637</xdr:rowOff>
    </xdr:from>
    <xdr:to>
      <xdr:col>11</xdr:col>
      <xdr:colOff>357269</xdr:colOff>
      <xdr:row>12</xdr:row>
      <xdr:rowOff>70387</xdr:rowOff>
    </xdr:to>
    <xdr:sp macro="" textlink="">
      <xdr:nvSpPr>
        <xdr:cNvPr id="7" name="Rounded Rectangle 6"/>
        <xdr:cNvSpPr/>
      </xdr:nvSpPr>
      <xdr:spPr>
        <a:xfrm>
          <a:off x="4504195" y="359366"/>
          <a:ext cx="2601294" cy="2035767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226017</xdr:colOff>
      <xdr:row>2</xdr:row>
      <xdr:rowOff>-1</xdr:rowOff>
    </xdr:from>
    <xdr:to>
      <xdr:col>11</xdr:col>
      <xdr:colOff>322882</xdr:colOff>
      <xdr:row>12</xdr:row>
      <xdr:rowOff>80719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433954</xdr:colOff>
      <xdr:row>1</xdr:row>
      <xdr:rowOff>145296</xdr:rowOff>
    </xdr:from>
    <xdr:to>
      <xdr:col>15</xdr:col>
      <xdr:colOff>581349</xdr:colOff>
      <xdr:row>12</xdr:row>
      <xdr:rowOff>50046</xdr:rowOff>
    </xdr:to>
    <xdr:sp macro="" textlink="">
      <xdr:nvSpPr>
        <xdr:cNvPr id="15" name="Rounded Rectangle 14"/>
        <xdr:cNvSpPr/>
      </xdr:nvSpPr>
      <xdr:spPr>
        <a:xfrm>
          <a:off x="7182174" y="339025"/>
          <a:ext cx="2601294" cy="2035767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279616</xdr:colOff>
      <xdr:row>12</xdr:row>
      <xdr:rowOff>122372</xdr:rowOff>
    </xdr:from>
    <xdr:to>
      <xdr:col>11</xdr:col>
      <xdr:colOff>427012</xdr:colOff>
      <xdr:row>23</xdr:row>
      <xdr:rowOff>27122</xdr:rowOff>
    </xdr:to>
    <xdr:sp macro="" textlink="">
      <xdr:nvSpPr>
        <xdr:cNvPr id="16" name="Rounded Rectangle 15"/>
        <xdr:cNvSpPr/>
      </xdr:nvSpPr>
      <xdr:spPr>
        <a:xfrm>
          <a:off x="4573938" y="2447118"/>
          <a:ext cx="2601294" cy="2035767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471408</xdr:colOff>
      <xdr:row>12</xdr:row>
      <xdr:rowOff>120435</xdr:rowOff>
    </xdr:from>
    <xdr:to>
      <xdr:col>16</xdr:col>
      <xdr:colOff>5329</xdr:colOff>
      <xdr:row>23</xdr:row>
      <xdr:rowOff>25185</xdr:rowOff>
    </xdr:to>
    <xdr:sp macro="" textlink="">
      <xdr:nvSpPr>
        <xdr:cNvPr id="18" name="Rounded Rectangle 17"/>
        <xdr:cNvSpPr/>
      </xdr:nvSpPr>
      <xdr:spPr>
        <a:xfrm>
          <a:off x="7219628" y="2445181"/>
          <a:ext cx="2601294" cy="2035767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58764</xdr:colOff>
      <xdr:row>12</xdr:row>
      <xdr:rowOff>95250</xdr:rowOff>
    </xdr:from>
    <xdr:to>
      <xdr:col>7</xdr:col>
      <xdr:colOff>206160</xdr:colOff>
      <xdr:row>23</xdr:row>
      <xdr:rowOff>0</xdr:rowOff>
    </xdr:to>
    <xdr:sp macro="" textlink="">
      <xdr:nvSpPr>
        <xdr:cNvPr id="19" name="Rounded Rectangle 18"/>
        <xdr:cNvSpPr/>
      </xdr:nvSpPr>
      <xdr:spPr>
        <a:xfrm>
          <a:off x="1899188" y="2419996"/>
          <a:ext cx="2601294" cy="2035767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419745</xdr:colOff>
      <xdr:row>1</xdr:row>
      <xdr:rowOff>161440</xdr:rowOff>
    </xdr:from>
    <xdr:to>
      <xdr:col>16</xdr:col>
      <xdr:colOff>16143</xdr:colOff>
      <xdr:row>12</xdr:row>
      <xdr:rowOff>64576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516610</xdr:colOff>
      <xdr:row>13</xdr:row>
      <xdr:rowOff>16143</xdr:rowOff>
    </xdr:from>
    <xdr:to>
      <xdr:col>7</xdr:col>
      <xdr:colOff>290593</xdr:colOff>
      <xdr:row>23</xdr:row>
      <xdr:rowOff>161440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258305</xdr:colOff>
      <xdr:row>13</xdr:row>
      <xdr:rowOff>1</xdr:rowOff>
    </xdr:from>
    <xdr:to>
      <xdr:col>11</xdr:col>
      <xdr:colOff>581187</xdr:colOff>
      <xdr:row>23</xdr:row>
      <xdr:rowOff>129153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419745</xdr:colOff>
      <xdr:row>11</xdr:row>
      <xdr:rowOff>177585</xdr:rowOff>
    </xdr:from>
    <xdr:to>
      <xdr:col>16</xdr:col>
      <xdr:colOff>209873</xdr:colOff>
      <xdr:row>23</xdr:row>
      <xdr:rowOff>80720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142551</xdr:colOff>
      <xdr:row>6</xdr:row>
      <xdr:rowOff>71679</xdr:rowOff>
    </xdr:from>
    <xdr:to>
      <xdr:col>7</xdr:col>
      <xdr:colOff>39391</xdr:colOff>
      <xdr:row>12</xdr:row>
      <xdr:rowOff>61347</xdr:rowOff>
    </xdr:to>
    <xdr:sp macro="" textlink="">
      <xdr:nvSpPr>
        <xdr:cNvPr id="23" name="Rounded Rectangle 22"/>
        <xdr:cNvSpPr/>
      </xdr:nvSpPr>
      <xdr:spPr>
        <a:xfrm>
          <a:off x="3209924" y="1234052"/>
          <a:ext cx="1123789" cy="115204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371313</xdr:colOff>
      <xdr:row>14</xdr:row>
      <xdr:rowOff>129153</xdr:rowOff>
    </xdr:from>
    <xdr:to>
      <xdr:col>3</xdr:col>
      <xdr:colOff>0</xdr:colOff>
      <xdr:row>22</xdr:row>
      <xdr:rowOff>32285</xdr:rowOff>
    </xdr:to>
    <xdr:sp macro="" textlink="">
      <xdr:nvSpPr>
        <xdr:cNvPr id="24" name="Rounded Rectangle 23"/>
        <xdr:cNvSpPr/>
      </xdr:nvSpPr>
      <xdr:spPr>
        <a:xfrm>
          <a:off x="984788" y="2841356"/>
          <a:ext cx="855636" cy="145296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117367</xdr:colOff>
      <xdr:row>6</xdr:row>
      <xdr:rowOff>78782</xdr:rowOff>
    </xdr:from>
    <xdr:to>
      <xdr:col>5</xdr:col>
      <xdr:colOff>14207</xdr:colOff>
      <xdr:row>12</xdr:row>
      <xdr:rowOff>68450</xdr:rowOff>
    </xdr:to>
    <xdr:sp macro="" textlink="">
      <xdr:nvSpPr>
        <xdr:cNvPr id="25" name="Rounded Rectangle 24"/>
        <xdr:cNvSpPr/>
      </xdr:nvSpPr>
      <xdr:spPr>
        <a:xfrm>
          <a:off x="1957791" y="1241155"/>
          <a:ext cx="1123789" cy="115204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362272</xdr:colOff>
      <xdr:row>6</xdr:row>
      <xdr:rowOff>103968</xdr:rowOff>
    </xdr:from>
    <xdr:to>
      <xdr:col>2</xdr:col>
      <xdr:colOff>604434</xdr:colOff>
      <xdr:row>13</xdr:row>
      <xdr:rowOff>145296</xdr:rowOff>
    </xdr:to>
    <xdr:sp macro="" textlink="">
      <xdr:nvSpPr>
        <xdr:cNvPr id="26" name="Rounded Rectangle 25"/>
        <xdr:cNvSpPr/>
      </xdr:nvSpPr>
      <xdr:spPr>
        <a:xfrm>
          <a:off x="975747" y="1266341"/>
          <a:ext cx="855636" cy="139743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306736</xdr:colOff>
      <xdr:row>2</xdr:row>
      <xdr:rowOff>64576</xdr:rowOff>
    </xdr:from>
    <xdr:to>
      <xdr:col>8</xdr:col>
      <xdr:colOff>48431</xdr:colOff>
      <xdr:row>6</xdr:row>
      <xdr:rowOff>16144</xdr:rowOff>
    </xdr:to>
    <xdr:sp macro="" textlink="">
      <xdr:nvSpPr>
        <xdr:cNvPr id="20" name="TextBox 19"/>
        <xdr:cNvSpPr txBox="1"/>
      </xdr:nvSpPr>
      <xdr:spPr>
        <a:xfrm>
          <a:off x="920211" y="452034"/>
          <a:ext cx="4036017" cy="726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800" b="1"/>
            <a:t>AVIATION</a:t>
          </a:r>
          <a:r>
            <a:rPr lang="en-US" sz="2800" b="1" baseline="0"/>
            <a:t> DASHBOARD</a:t>
          </a:r>
        </a:p>
        <a:p>
          <a:endParaRPr lang="en-US" sz="2800"/>
        </a:p>
      </xdr:txBody>
    </xdr:sp>
    <xdr:clientData/>
  </xdr:twoCellAnchor>
  <xdr:twoCellAnchor>
    <xdr:from>
      <xdr:col>1</xdr:col>
      <xdr:colOff>371313</xdr:colOff>
      <xdr:row>6</xdr:row>
      <xdr:rowOff>177583</xdr:rowOff>
    </xdr:from>
    <xdr:to>
      <xdr:col>3</xdr:col>
      <xdr:colOff>98051</xdr:colOff>
      <xdr:row>12</xdr:row>
      <xdr:rowOff>168089</xdr:rowOff>
    </xdr:to>
    <xdr:sp macro="" textlink="">
      <xdr:nvSpPr>
        <xdr:cNvPr id="27" name="TextBox 26"/>
        <xdr:cNvSpPr txBox="1"/>
      </xdr:nvSpPr>
      <xdr:spPr>
        <a:xfrm>
          <a:off x="987637" y="1354201"/>
          <a:ext cx="959385" cy="1167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Passenger</a:t>
          </a:r>
        </a:p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count</a:t>
          </a:r>
        </a:p>
        <a:p>
          <a:endParaRPr lang="en-US" sz="14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2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18,915</a:t>
          </a:r>
          <a:r>
            <a:rPr lang="en-US" sz="2000" b="1"/>
            <a:t> </a:t>
          </a:r>
        </a:p>
      </xdr:txBody>
    </xdr:sp>
    <xdr:clientData/>
  </xdr:twoCellAnchor>
  <xdr:twoCellAnchor>
    <xdr:from>
      <xdr:col>3</xdr:col>
      <xdr:colOff>42022</xdr:colOff>
      <xdr:row>7</xdr:row>
      <xdr:rowOff>28014</xdr:rowOff>
    </xdr:from>
    <xdr:to>
      <xdr:col>5</xdr:col>
      <xdr:colOff>182095</xdr:colOff>
      <xdr:row>12</xdr:row>
      <xdr:rowOff>14008</xdr:rowOff>
    </xdr:to>
    <xdr:sp macro="" textlink="">
      <xdr:nvSpPr>
        <xdr:cNvPr id="28" name="TextBox 27"/>
        <xdr:cNvSpPr txBox="1"/>
      </xdr:nvSpPr>
      <xdr:spPr>
        <a:xfrm>
          <a:off x="1890993" y="1400735"/>
          <a:ext cx="1372720" cy="966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AVG</a:t>
          </a:r>
        </a:p>
        <a:p>
          <a:r>
            <a:rPr lang="en-US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Flight Duration</a:t>
          </a:r>
        </a:p>
        <a:p>
          <a:endParaRPr lang="en-US" sz="14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 7.1614</a:t>
          </a:r>
          <a:r>
            <a:rPr lang="en-US" sz="1800" b="1"/>
            <a:t> </a:t>
          </a:r>
        </a:p>
      </xdr:txBody>
    </xdr:sp>
    <xdr:clientData/>
  </xdr:twoCellAnchor>
  <xdr:twoCellAnchor>
    <xdr:from>
      <xdr:col>5</xdr:col>
      <xdr:colOff>112058</xdr:colOff>
      <xdr:row>6</xdr:row>
      <xdr:rowOff>98050</xdr:rowOff>
    </xdr:from>
    <xdr:to>
      <xdr:col>7</xdr:col>
      <xdr:colOff>350183</xdr:colOff>
      <xdr:row>11</xdr:row>
      <xdr:rowOff>154081</xdr:rowOff>
    </xdr:to>
    <xdr:sp macro="" textlink="">
      <xdr:nvSpPr>
        <xdr:cNvPr id="29" name="TextBox 28"/>
        <xdr:cNvSpPr txBox="1"/>
      </xdr:nvSpPr>
      <xdr:spPr>
        <a:xfrm>
          <a:off x="3193676" y="1274668"/>
          <a:ext cx="1470772" cy="1036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AVG</a:t>
          </a:r>
          <a:r>
            <a:rPr lang="en-US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Fuel</a:t>
          </a:r>
        </a:p>
        <a:p>
          <a:r>
            <a:rPr lang="en-US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Consumpton</a:t>
          </a:r>
        </a:p>
        <a:p>
          <a:endParaRPr lang="en-US" sz="14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8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11,298L</a:t>
          </a:r>
          <a:endParaRPr lang="en-US" sz="1800" b="1"/>
        </a:p>
      </xdr:txBody>
    </xdr:sp>
    <xdr:clientData/>
  </xdr:twoCellAnchor>
  <xdr:twoCellAnchor>
    <xdr:from>
      <xdr:col>1</xdr:col>
      <xdr:colOff>336176</xdr:colOff>
      <xdr:row>15</xdr:row>
      <xdr:rowOff>98049</xdr:rowOff>
    </xdr:from>
    <xdr:to>
      <xdr:col>3</xdr:col>
      <xdr:colOff>112058</xdr:colOff>
      <xdr:row>20</xdr:row>
      <xdr:rowOff>168087</xdr:rowOff>
    </xdr:to>
    <xdr:sp macro="" textlink="">
      <xdr:nvSpPr>
        <xdr:cNvPr id="30" name="TextBox 29"/>
        <xdr:cNvSpPr txBox="1"/>
      </xdr:nvSpPr>
      <xdr:spPr>
        <a:xfrm>
          <a:off x="952500" y="3039593"/>
          <a:ext cx="1008529" cy="1050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Ticket </a:t>
          </a:r>
        </a:p>
        <a:p>
          <a:r>
            <a:rPr lang="en-US" sz="14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Revenue</a:t>
          </a:r>
        </a:p>
        <a:p>
          <a:endParaRPr lang="en-US" sz="12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6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290.57M</a:t>
          </a:r>
          <a:r>
            <a:rPr lang="en-US" sz="1600" b="1"/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88888888888888888888" refreshedDate="46162.523099189813" createdVersion="3" refreshedVersion="3" minRefreshableVersion="3" recordCount="100">
  <cacheSource type="worksheet">
    <worksheetSource name="Table1"/>
  </cacheSource>
  <cacheFields count="8">
    <cacheField name="Airline" numFmtId="0">
      <sharedItems count="5">
        <s v="Dana Air"/>
        <s v="Max Air"/>
        <s v="Air Peace"/>
        <s v="Arik Air"/>
        <s v="Ibom Air"/>
      </sharedItems>
    </cacheField>
    <cacheField name="Flight Type" numFmtId="0">
      <sharedItems count="2">
        <s v="International"/>
        <s v="Domestic"/>
      </sharedItems>
    </cacheField>
    <cacheField name="Aircraft Model" numFmtId="0">
      <sharedItems count="5">
        <s v="Embraer 145"/>
        <s v="ATR 72"/>
        <s v="Boeing 777"/>
        <s v="Boeing 737"/>
        <s v="Airbus A320"/>
      </sharedItems>
    </cacheField>
    <cacheField name="Flight Duration (hrs)" numFmtId="0">
      <sharedItems containsSemiMixedTypes="0" containsString="0" containsNumber="1" minValue="1.1399999999999999" maxValue="11.87"/>
    </cacheField>
    <cacheField name="Passenger Count" numFmtId="0">
      <sharedItems containsSemiMixedTypes="0" containsString="0" containsNumber="1" containsInteger="1" minValue="50" maxValue="336"/>
    </cacheField>
    <cacheField name="Fuel Consumption (Liters)" numFmtId="0">
      <sharedItems containsSemiMixedTypes="0" containsString="0" containsNumber="1" minValue="1019.21" maxValue="19902.400000000001"/>
    </cacheField>
    <cacheField name="Ticket Revenue (NGN)" numFmtId="0">
      <sharedItems containsSemiMixedTypes="0" containsString="0" containsNumber="1" containsInteger="1" minValue="573981" maxValue="4951593"/>
    </cacheField>
    <cacheField name="Fuel Efficiency" numFmtId="164">
      <sharedItems containsSemiMixedTypes="0" containsString="0" containsNumber="1" minValue="3.1033508948512308E-3" maxValue="0.1804582496366338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n v="11.02"/>
    <n v="115"/>
    <n v="1163.5999999999999"/>
    <n v="791423"/>
    <n v="9.883121347542112E-2"/>
  </r>
  <r>
    <x v="1"/>
    <x v="0"/>
    <x v="0"/>
    <n v="7.88"/>
    <n v="153"/>
    <n v="16627.46"/>
    <n v="2460040"/>
    <n v="9.2016459519373376E-3"/>
  </r>
  <r>
    <x v="1"/>
    <x v="0"/>
    <x v="1"/>
    <n v="11.61"/>
    <n v="248"/>
    <n v="19902.400000000001"/>
    <n v="2332727"/>
    <n v="1.2460808746683816E-2"/>
  </r>
  <r>
    <x v="2"/>
    <x v="0"/>
    <x v="0"/>
    <n v="5.03"/>
    <n v="162"/>
    <n v="6422.56"/>
    <n v="3185701"/>
    <n v="2.5223586856331429E-2"/>
  </r>
  <r>
    <x v="3"/>
    <x v="1"/>
    <x v="2"/>
    <n v="9.0500000000000007"/>
    <n v="316"/>
    <n v="2565.38"/>
    <n v="3537872"/>
    <n v="0.12317863240533565"/>
  </r>
  <r>
    <x v="4"/>
    <x v="0"/>
    <x v="2"/>
    <n v="11.85"/>
    <n v="284"/>
    <n v="17904.8"/>
    <n v="2514646"/>
    <n v="1.586166837942898E-2"/>
  </r>
  <r>
    <x v="2"/>
    <x v="0"/>
    <x v="3"/>
    <n v="8.59"/>
    <n v="121"/>
    <n v="10215.33"/>
    <n v="1920874"/>
    <n v="1.1844942845703468E-2"/>
  </r>
  <r>
    <x v="0"/>
    <x v="1"/>
    <x v="2"/>
    <n v="3.35"/>
    <n v="110"/>
    <n v="17186.759999999998"/>
    <n v="4410111"/>
    <n v="6.4002755609550615E-3"/>
  </r>
  <r>
    <x v="2"/>
    <x v="0"/>
    <x v="4"/>
    <n v="5.56"/>
    <n v="94"/>
    <n v="17815.78"/>
    <n v="3976092"/>
    <n v="5.2762214171930728E-3"/>
  </r>
  <r>
    <x v="2"/>
    <x v="0"/>
    <x v="1"/>
    <n v="9.11"/>
    <n v="232"/>
    <n v="15190.5"/>
    <n v="4081393"/>
    <n v="1.5272703334320792E-2"/>
  </r>
  <r>
    <x v="3"/>
    <x v="1"/>
    <x v="2"/>
    <n v="10.36"/>
    <n v="280"/>
    <n v="7438.91"/>
    <n v="1832239"/>
    <n v="3.7639923053243013E-2"/>
  </r>
  <r>
    <x v="2"/>
    <x v="0"/>
    <x v="0"/>
    <n v="7.85"/>
    <n v="247"/>
    <n v="18145.52"/>
    <n v="2511783"/>
    <n v="1.3612175346862475E-2"/>
  </r>
  <r>
    <x v="1"/>
    <x v="0"/>
    <x v="2"/>
    <n v="1.47"/>
    <n v="176"/>
    <n v="10235.84"/>
    <n v="1341754"/>
    <n v="1.7194485259636728E-2"/>
  </r>
  <r>
    <x v="1"/>
    <x v="1"/>
    <x v="3"/>
    <n v="10.06"/>
    <n v="106"/>
    <n v="19669.509999999998"/>
    <n v="573981"/>
    <n v="5.3890513795208936E-3"/>
  </r>
  <r>
    <x v="4"/>
    <x v="0"/>
    <x v="2"/>
    <n v="6.56"/>
    <n v="190"/>
    <n v="16662.650000000001"/>
    <n v="2383435"/>
    <n v="1.1402748062283009E-2"/>
  </r>
  <r>
    <x v="1"/>
    <x v="1"/>
    <x v="0"/>
    <n v="10.38"/>
    <n v="216"/>
    <n v="15585.67"/>
    <n v="1940800"/>
    <n v="1.3858884475290443E-2"/>
  </r>
  <r>
    <x v="2"/>
    <x v="0"/>
    <x v="0"/>
    <n v="6.3"/>
    <n v="79"/>
    <n v="5180.99"/>
    <n v="4067586"/>
    <n v="1.524805104815875E-2"/>
  </r>
  <r>
    <x v="1"/>
    <x v="1"/>
    <x v="3"/>
    <n v="8.75"/>
    <n v="154"/>
    <n v="17261.45"/>
    <n v="2291103"/>
    <n v="8.9216143487366346E-3"/>
  </r>
  <r>
    <x v="2"/>
    <x v="1"/>
    <x v="1"/>
    <n v="3.98"/>
    <n v="66"/>
    <n v="3716.58"/>
    <n v="4224650"/>
    <n v="1.7758261627625397E-2"/>
  </r>
  <r>
    <x v="3"/>
    <x v="0"/>
    <x v="1"/>
    <n v="10.210000000000001"/>
    <n v="249"/>
    <n v="4424.07"/>
    <n v="3086191"/>
    <n v="5.6283015413408924E-2"/>
  </r>
  <r>
    <x v="0"/>
    <x v="1"/>
    <x v="2"/>
    <n v="10.06"/>
    <n v="248"/>
    <n v="10414.99"/>
    <n v="4951593"/>
    <n v="2.3811832752599859E-2"/>
  </r>
  <r>
    <x v="4"/>
    <x v="0"/>
    <x v="2"/>
    <n v="8.17"/>
    <n v="60"/>
    <n v="19333.939999999999"/>
    <n v="3953955"/>
    <n v="3.1033508948512308E-3"/>
  </r>
  <r>
    <x v="3"/>
    <x v="1"/>
    <x v="4"/>
    <n v="3.07"/>
    <n v="158"/>
    <n v="10636.21"/>
    <n v="3482506"/>
    <n v="1.485491542570145E-2"/>
  </r>
  <r>
    <x v="2"/>
    <x v="0"/>
    <x v="2"/>
    <n v="4.22"/>
    <n v="243"/>
    <n v="8959.66"/>
    <n v="1981851"/>
    <n v="2.712156488081021E-2"/>
  </r>
  <r>
    <x v="3"/>
    <x v="1"/>
    <x v="1"/>
    <n v="5.33"/>
    <n v="221"/>
    <n v="1224.6600000000001"/>
    <n v="4236286"/>
    <n v="0.18045824963663382"/>
  </r>
  <r>
    <x v="0"/>
    <x v="1"/>
    <x v="0"/>
    <n v="11.34"/>
    <n v="324"/>
    <n v="7310.4"/>
    <n v="2834581"/>
    <n v="4.4320420223243603E-2"/>
  </r>
  <r>
    <x v="4"/>
    <x v="0"/>
    <x v="2"/>
    <n v="9.77"/>
    <n v="264"/>
    <n v="13500.47"/>
    <n v="4152692"/>
    <n v="1.9554874756212193E-2"/>
  </r>
  <r>
    <x v="3"/>
    <x v="0"/>
    <x v="2"/>
    <n v="8.5"/>
    <n v="315"/>
    <n v="2226.71"/>
    <n v="1125970"/>
    <n v="0.14146431282025948"/>
  </r>
  <r>
    <x v="0"/>
    <x v="1"/>
    <x v="4"/>
    <n v="11.87"/>
    <n v="63"/>
    <n v="13732"/>
    <n v="2540231"/>
    <n v="4.5878240605884066E-3"/>
  </r>
  <r>
    <x v="4"/>
    <x v="0"/>
    <x v="3"/>
    <n v="9.75"/>
    <n v="288"/>
    <n v="3884.68"/>
    <n v="4677788"/>
    <n v="7.4137380685152965E-2"/>
  </r>
  <r>
    <x v="3"/>
    <x v="0"/>
    <x v="1"/>
    <n v="2.21"/>
    <n v="238"/>
    <n v="1565.05"/>
    <n v="4697677"/>
    <n v="0.1520718187917319"/>
  </r>
  <r>
    <x v="4"/>
    <x v="0"/>
    <x v="4"/>
    <n v="6.4"/>
    <n v="188"/>
    <n v="14372.79"/>
    <n v="3394171"/>
    <n v="1.3080271819180547E-2"/>
  </r>
  <r>
    <x v="2"/>
    <x v="0"/>
    <x v="2"/>
    <n v="10.45"/>
    <n v="202"/>
    <n v="14612.47"/>
    <n v="4048728"/>
    <n v="1.3823809390198919E-2"/>
  </r>
  <r>
    <x v="4"/>
    <x v="0"/>
    <x v="4"/>
    <n v="6.52"/>
    <n v="116"/>
    <n v="14269.12"/>
    <n v="3241671"/>
    <n v="8.1294431611760223E-3"/>
  </r>
  <r>
    <x v="2"/>
    <x v="1"/>
    <x v="2"/>
    <n v="9.33"/>
    <n v="92"/>
    <n v="14059.25"/>
    <n v="2290898"/>
    <n v="6.5437345519853479E-3"/>
  </r>
  <r>
    <x v="0"/>
    <x v="0"/>
    <x v="2"/>
    <n v="6.02"/>
    <n v="273"/>
    <n v="10398.9"/>
    <n v="2048737"/>
    <n v="2.6252776736000925E-2"/>
  </r>
  <r>
    <x v="2"/>
    <x v="1"/>
    <x v="3"/>
    <n v="4.07"/>
    <n v="259"/>
    <n v="8112.12"/>
    <n v="700132"/>
    <n v="3.1927535588724035E-2"/>
  </r>
  <r>
    <x v="3"/>
    <x v="0"/>
    <x v="0"/>
    <n v="10.08"/>
    <n v="299"/>
    <n v="17236.240000000002"/>
    <n v="3324453"/>
    <n v="1.7347170844685383E-2"/>
  </r>
  <r>
    <x v="3"/>
    <x v="0"/>
    <x v="2"/>
    <n v="5.55"/>
    <n v="159"/>
    <n v="4281.04"/>
    <n v="4773470"/>
    <n v="3.7140507913964831E-2"/>
  </r>
  <r>
    <x v="2"/>
    <x v="1"/>
    <x v="1"/>
    <n v="2.96"/>
    <n v="272"/>
    <n v="15285.53"/>
    <n v="4522288"/>
    <n v="1.7794607056477597E-2"/>
  </r>
  <r>
    <x v="2"/>
    <x v="0"/>
    <x v="4"/>
    <n v="8.44"/>
    <n v="80"/>
    <n v="1019.21"/>
    <n v="3305582"/>
    <n v="7.8492165500730959E-2"/>
  </r>
  <r>
    <x v="3"/>
    <x v="0"/>
    <x v="1"/>
    <n v="11.21"/>
    <n v="307"/>
    <n v="9331.2000000000007"/>
    <n v="3094034"/>
    <n v="3.2900377229080929E-2"/>
  </r>
  <r>
    <x v="1"/>
    <x v="0"/>
    <x v="1"/>
    <n v="10.97"/>
    <n v="69"/>
    <n v="14153.08"/>
    <n v="1998189"/>
    <n v="4.8752639001545953E-3"/>
  </r>
  <r>
    <x v="4"/>
    <x v="0"/>
    <x v="1"/>
    <n v="7.51"/>
    <n v="75"/>
    <n v="19461.32"/>
    <n v="2985737"/>
    <n v="3.8537982007386959E-3"/>
  </r>
  <r>
    <x v="0"/>
    <x v="1"/>
    <x v="4"/>
    <n v="2.56"/>
    <n v="105"/>
    <n v="17856.97"/>
    <n v="1916772"/>
    <n v="5.880056918950975E-3"/>
  </r>
  <r>
    <x v="4"/>
    <x v="0"/>
    <x v="3"/>
    <n v="11.52"/>
    <n v="58"/>
    <n v="10660.52"/>
    <n v="4498876"/>
    <n v="5.4406351660144158E-3"/>
  </r>
  <r>
    <x v="1"/>
    <x v="1"/>
    <x v="1"/>
    <n v="10.64"/>
    <n v="61"/>
    <n v="9341.2199999999993"/>
    <n v="651530"/>
    <n v="6.5301962698662494E-3"/>
  </r>
  <r>
    <x v="3"/>
    <x v="1"/>
    <x v="1"/>
    <n v="6.26"/>
    <n v="309"/>
    <n v="18458.41"/>
    <n v="3121385"/>
    <n v="1.6740336789571798E-2"/>
  </r>
  <r>
    <x v="4"/>
    <x v="0"/>
    <x v="2"/>
    <n v="1.52"/>
    <n v="178"/>
    <n v="18497.77"/>
    <n v="1387967"/>
    <n v="9.6227815569119943E-3"/>
  </r>
  <r>
    <x v="2"/>
    <x v="1"/>
    <x v="2"/>
    <n v="2.83"/>
    <n v="154"/>
    <n v="18370.8"/>
    <n v="1189405"/>
    <n v="8.3828684651729921E-3"/>
  </r>
  <r>
    <x v="2"/>
    <x v="1"/>
    <x v="3"/>
    <n v="2.27"/>
    <n v="108"/>
    <n v="5088.8500000000004"/>
    <n v="3614091"/>
    <n v="2.122286960708215E-2"/>
  </r>
  <r>
    <x v="2"/>
    <x v="0"/>
    <x v="2"/>
    <n v="9.0500000000000007"/>
    <n v="304"/>
    <n v="16980.75"/>
    <n v="3058674"/>
    <n v="1.7902625031285428E-2"/>
  </r>
  <r>
    <x v="3"/>
    <x v="1"/>
    <x v="4"/>
    <n v="7.61"/>
    <n v="118"/>
    <n v="13999.95"/>
    <n v="4611419"/>
    <n v="8.428601530719752E-3"/>
  </r>
  <r>
    <x v="3"/>
    <x v="0"/>
    <x v="1"/>
    <n v="6.31"/>
    <n v="220"/>
    <n v="19199.400000000001"/>
    <n v="1337546"/>
    <n v="1.1458691417440128E-2"/>
  </r>
  <r>
    <x v="2"/>
    <x v="0"/>
    <x v="3"/>
    <n v="6"/>
    <n v="150"/>
    <n v="18256.080000000002"/>
    <n v="837359"/>
    <n v="8.2164407693217818E-3"/>
  </r>
  <r>
    <x v="0"/>
    <x v="0"/>
    <x v="4"/>
    <n v="7.91"/>
    <n v="223"/>
    <n v="15378.35"/>
    <n v="2074290"/>
    <n v="1.4500905493762335E-2"/>
  </r>
  <r>
    <x v="1"/>
    <x v="1"/>
    <x v="1"/>
    <n v="2.16"/>
    <n v="219"/>
    <n v="15303.38"/>
    <n v="3042401"/>
    <n v="1.4310564071466565E-2"/>
  </r>
  <r>
    <x v="4"/>
    <x v="0"/>
    <x v="0"/>
    <n v="7.92"/>
    <n v="324"/>
    <n v="6307.37"/>
    <n v="3463382"/>
    <n v="5.136847846249705E-2"/>
  </r>
  <r>
    <x v="0"/>
    <x v="1"/>
    <x v="1"/>
    <n v="10.220000000000001"/>
    <n v="125"/>
    <n v="5985.06"/>
    <n v="4211703"/>
    <n v="2.0885337824516379E-2"/>
  </r>
  <r>
    <x v="3"/>
    <x v="0"/>
    <x v="0"/>
    <n v="7.51"/>
    <n v="143"/>
    <n v="14410.33"/>
    <n v="4838300"/>
    <n v="9.9234368678579876E-3"/>
  </r>
  <r>
    <x v="4"/>
    <x v="0"/>
    <x v="3"/>
    <n v="9.7799999999999994"/>
    <n v="179"/>
    <n v="19368.099999999999"/>
    <n v="3968966"/>
    <n v="9.2420010222995543E-3"/>
  </r>
  <r>
    <x v="3"/>
    <x v="1"/>
    <x v="3"/>
    <n v="3.06"/>
    <n v="97"/>
    <n v="10070.52"/>
    <n v="4864979"/>
    <n v="9.6320746098513283E-3"/>
  </r>
  <r>
    <x v="0"/>
    <x v="0"/>
    <x v="0"/>
    <n v="6.58"/>
    <n v="73"/>
    <n v="5037.3900000000003"/>
    <n v="3941343"/>
    <n v="1.4491631579051849E-2"/>
  </r>
  <r>
    <x v="3"/>
    <x v="1"/>
    <x v="0"/>
    <n v="5.36"/>
    <n v="142"/>
    <n v="2516.52"/>
    <n v="4266289"/>
    <n v="5.6427129528078455E-2"/>
  </r>
  <r>
    <x v="2"/>
    <x v="1"/>
    <x v="4"/>
    <n v="7.49"/>
    <n v="124"/>
    <n v="12121.56"/>
    <n v="1495282"/>
    <n v="1.0229706407426107E-2"/>
  </r>
  <r>
    <x v="0"/>
    <x v="0"/>
    <x v="1"/>
    <n v="11.32"/>
    <n v="285"/>
    <n v="2838.56"/>
    <n v="2010338"/>
    <n v="0.10040302125021137"/>
  </r>
  <r>
    <x v="2"/>
    <x v="1"/>
    <x v="0"/>
    <n v="10.68"/>
    <n v="213"/>
    <n v="14320.74"/>
    <n v="767373"/>
    <n v="1.4873533071615014E-2"/>
  </r>
  <r>
    <x v="4"/>
    <x v="0"/>
    <x v="1"/>
    <n v="2.87"/>
    <n v="170"/>
    <n v="1411.8"/>
    <n v="1627551"/>
    <n v="0.12041365632525854"/>
  </r>
  <r>
    <x v="4"/>
    <x v="0"/>
    <x v="3"/>
    <n v="2.85"/>
    <n v="111"/>
    <n v="14007.86"/>
    <n v="2208002"/>
    <n v="7.9241225997404314E-3"/>
  </r>
  <r>
    <x v="2"/>
    <x v="1"/>
    <x v="2"/>
    <n v="2.83"/>
    <n v="256"/>
    <n v="6959.5"/>
    <n v="3155845"/>
    <n v="3.6784251742222863E-2"/>
  </r>
  <r>
    <x v="4"/>
    <x v="0"/>
    <x v="4"/>
    <n v="11.1"/>
    <n v="172"/>
    <n v="14481.76"/>
    <n v="4378248"/>
    <n v="1.1877009424268873E-2"/>
  </r>
  <r>
    <x v="3"/>
    <x v="0"/>
    <x v="1"/>
    <n v="10.72"/>
    <n v="145"/>
    <n v="14368.58"/>
    <n v="3332155"/>
    <n v="1.0091463457070914E-2"/>
  </r>
  <r>
    <x v="1"/>
    <x v="1"/>
    <x v="0"/>
    <n v="8.51"/>
    <n v="52"/>
    <n v="13554.02"/>
    <n v="2113242"/>
    <n v="3.8365001674779881E-3"/>
  </r>
  <r>
    <x v="0"/>
    <x v="1"/>
    <x v="3"/>
    <n v="3.03"/>
    <n v="162"/>
    <n v="3239.36"/>
    <n v="3813020"/>
    <n v="5.0009878494517435E-2"/>
  </r>
  <r>
    <x v="0"/>
    <x v="1"/>
    <x v="3"/>
    <n v="10.96"/>
    <n v="271"/>
    <n v="9742.5499999999993"/>
    <n v="2918906"/>
    <n v="2.7816126168200318E-2"/>
  </r>
  <r>
    <x v="3"/>
    <x v="1"/>
    <x v="0"/>
    <n v="4.1100000000000003"/>
    <n v="122"/>
    <n v="3126.49"/>
    <n v="3187091"/>
    <n v="3.9021394599055174E-2"/>
  </r>
  <r>
    <x v="1"/>
    <x v="0"/>
    <x v="3"/>
    <n v="6.06"/>
    <n v="322"/>
    <n v="12289.56"/>
    <n v="2585564"/>
    <n v="2.6201100771711925E-2"/>
  </r>
  <r>
    <x v="0"/>
    <x v="0"/>
    <x v="0"/>
    <n v="11.45"/>
    <n v="196"/>
    <n v="10667.18"/>
    <n v="3054559"/>
    <n v="1.837411574567974E-2"/>
  </r>
  <r>
    <x v="0"/>
    <x v="1"/>
    <x v="3"/>
    <n v="2.27"/>
    <n v="52"/>
    <n v="4235.3100000000004"/>
    <n v="2646002"/>
    <n v="1.2277731736283765E-2"/>
  </r>
  <r>
    <x v="0"/>
    <x v="0"/>
    <x v="4"/>
    <n v="1.1399999999999999"/>
    <n v="276"/>
    <n v="6617.21"/>
    <n v="1374112"/>
    <n v="4.1709421342227312E-2"/>
  </r>
  <r>
    <x v="1"/>
    <x v="0"/>
    <x v="3"/>
    <n v="11.35"/>
    <n v="292"/>
    <n v="10568.81"/>
    <n v="2347816"/>
    <n v="2.7628465267139822E-2"/>
  </r>
  <r>
    <x v="2"/>
    <x v="0"/>
    <x v="0"/>
    <n v="8.5500000000000007"/>
    <n v="50"/>
    <n v="15460.7"/>
    <n v="1872082"/>
    <n v="3.2340062222279715E-3"/>
  </r>
  <r>
    <x v="0"/>
    <x v="1"/>
    <x v="4"/>
    <n v="2.99"/>
    <n v="330"/>
    <n v="4322.1099999999997"/>
    <n v="4704684"/>
    <n v="7.6351596789531045E-2"/>
  </r>
  <r>
    <x v="1"/>
    <x v="1"/>
    <x v="2"/>
    <n v="3"/>
    <n v="218"/>
    <n v="16163.38"/>
    <n v="3780078"/>
    <n v="1.3487278032193762E-2"/>
  </r>
  <r>
    <x v="2"/>
    <x v="0"/>
    <x v="4"/>
    <n v="6.38"/>
    <n v="308"/>
    <n v="18561.310000000001"/>
    <n v="2654228"/>
    <n v="1.6593656374469259E-2"/>
  </r>
  <r>
    <x v="0"/>
    <x v="0"/>
    <x v="0"/>
    <n v="6.84"/>
    <n v="185"/>
    <n v="12170.8"/>
    <n v="3143828"/>
    <n v="1.5200315509251652E-2"/>
  </r>
  <r>
    <x v="1"/>
    <x v="1"/>
    <x v="4"/>
    <n v="11.56"/>
    <n v="290"/>
    <n v="9377.7000000000007"/>
    <n v="3855632"/>
    <n v="3.0924427098329012E-2"/>
  </r>
  <r>
    <x v="4"/>
    <x v="0"/>
    <x v="2"/>
    <n v="1.22"/>
    <n v="65"/>
    <n v="11200.91"/>
    <n v="1385350"/>
    <n v="5.803099926702384E-3"/>
  </r>
  <r>
    <x v="0"/>
    <x v="1"/>
    <x v="1"/>
    <n v="10.25"/>
    <n v="222"/>
    <n v="10970.84"/>
    <n v="2588307"/>
    <n v="2.0235460548143989E-2"/>
  </r>
  <r>
    <x v="0"/>
    <x v="0"/>
    <x v="2"/>
    <n v="3.69"/>
    <n v="228"/>
    <n v="17990.7"/>
    <n v="2116053"/>
    <n v="1.2673214494155313E-2"/>
  </r>
  <r>
    <x v="4"/>
    <x v="1"/>
    <x v="3"/>
    <n v="10.8"/>
    <n v="197"/>
    <n v="2026.25"/>
    <n v="3705771"/>
    <n v="9.7223935842072798E-2"/>
  </r>
  <r>
    <x v="4"/>
    <x v="0"/>
    <x v="0"/>
    <n v="8.85"/>
    <n v="328"/>
    <n v="7524.61"/>
    <n v="4501667"/>
    <n v="4.3590299032109307E-2"/>
  </r>
  <r>
    <x v="2"/>
    <x v="1"/>
    <x v="4"/>
    <n v="9.48"/>
    <n v="176"/>
    <n v="1434.19"/>
    <n v="629076"/>
    <n v="0.12271735265201961"/>
  </r>
  <r>
    <x v="4"/>
    <x v="0"/>
    <x v="4"/>
    <n v="9.01"/>
    <n v="73"/>
    <n v="9489.6"/>
    <n v="3584566"/>
    <n v="7.6926319339065919E-3"/>
  </r>
  <r>
    <x v="3"/>
    <x v="0"/>
    <x v="0"/>
    <n v="4.93"/>
    <n v="211"/>
    <n v="11299.43"/>
    <n v="1605906"/>
    <n v="1.8673508309711196E-2"/>
  </r>
  <r>
    <x v="4"/>
    <x v="0"/>
    <x v="3"/>
    <n v="7.7"/>
    <n v="239"/>
    <n v="8138.33"/>
    <n v="4543088"/>
    <n v="2.9367204328160691E-2"/>
  </r>
  <r>
    <x v="4"/>
    <x v="0"/>
    <x v="0"/>
    <n v="5.68"/>
    <n v="193"/>
    <n v="19706.59"/>
    <n v="1097497"/>
    <n v="9.7936781553784793E-3"/>
  </r>
  <r>
    <x v="2"/>
    <x v="0"/>
    <x v="3"/>
    <n v="4.12"/>
    <n v="336"/>
    <n v="16417.63"/>
    <n v="2516159"/>
    <n v="2.0465804138599785E-2"/>
  </r>
  <r>
    <x v="4"/>
    <x v="1"/>
    <x v="2"/>
    <n v="7"/>
    <n v="101"/>
    <n v="17680.75"/>
    <n v="1881162"/>
    <n v="5.7124273574367607E-3"/>
  </r>
  <r>
    <x v="3"/>
    <x v="0"/>
    <x v="1"/>
    <n v="5.51"/>
    <n v="243"/>
    <n v="11596.19"/>
    <n v="4666671"/>
    <n v="2.095515854776439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9" firstHeaderRow="1" firstDataRow="1" firstDataCol="1"/>
  <pivotFields count="8"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4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icket Revenue (NGN)" fld="6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E12:G16" firstHeaderRow="1" firstDataRow="2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numFmtId="164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cket Revenue (NGN)" fld="6" subtotal="average" baseField="0" baseItem="0"/>
    <dataField name="Average of Fuel Consumption (Liters)" fld="5" subtotal="average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12:B18" firstHeaderRow="1" firstDataRow="1" firstDataCol="1"/>
  <pivotFields count="8">
    <pivotField showAll="0">
      <items count="6">
        <item x="2"/>
        <item x="3"/>
        <item x="0"/>
        <item x="4"/>
        <item x="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uel Efficiency" fld="7" subtotal="average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E3:H10" firstHeaderRow="1" firstDataRow="2" firstDataCol="1"/>
  <pivotFields count="8"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numFmtId="164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light Duration (hrs)" fld="3" subtotal="average" baseField="0" baseItem="0"/>
    <dataField name="Average of Fuel Consumption (Liters)" fld="5" subtotal="average" baseField="0" baseItem="0"/>
    <dataField name="Average of Ticket Revenue (NGN)" fld="6" subtotal="average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G101" totalsRowShown="0">
  <autoFilter ref="A1:G101"/>
  <tableColumns count="7">
    <tableColumn id="1" name="Airline"/>
    <tableColumn id="2" name="Flight Type"/>
    <tableColumn id="3" name="Aircraft Model"/>
    <tableColumn id="4" name="Flight Duration (hrs)"/>
    <tableColumn id="5" name="Passenger Count"/>
    <tableColumn id="6" name="Fuel Consumption (Liters)"/>
    <tableColumn id="7" name="Ticket Revenue (NGN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1" totalsRowShown="0">
  <autoFilter ref="A1:H101">
    <filterColumn colId="7"/>
  </autoFilter>
  <tableColumns count="8">
    <tableColumn id="1" name="Airline"/>
    <tableColumn id="2" name="Flight Type"/>
    <tableColumn id="3" name="Aircraft Model"/>
    <tableColumn id="4" name="Flight Duration (hrs)"/>
    <tableColumn id="5" name="Passenger Count"/>
    <tableColumn id="6" name="Fuel Consumption (Liters)"/>
    <tableColumn id="7" name="Ticket Revenue (NGN)"/>
    <tableColumn id="8" name="Fuel Efficiency" dataDxfId="0">
      <calculatedColumnFormula>E2/F2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selection activeCell="H15" sqref="H15"/>
    </sheetView>
  </sheetViews>
  <sheetFormatPr defaultRowHeight="15"/>
  <cols>
    <col min="2" max="2" width="12.85546875" customWidth="1"/>
    <col min="3" max="3" width="15.85546875" customWidth="1"/>
    <col min="4" max="4" width="20.85546875" customWidth="1"/>
    <col min="5" max="5" width="17.85546875" customWidth="1"/>
    <col min="6" max="6" width="26" customWidth="1"/>
    <col min="7" max="7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11.02</v>
      </c>
      <c r="E2">
        <v>115</v>
      </c>
      <c r="F2">
        <v>1163.5999999999999</v>
      </c>
      <c r="G2">
        <v>791423</v>
      </c>
    </row>
    <row r="3" spans="1:7">
      <c r="A3" t="s">
        <v>10</v>
      </c>
      <c r="B3" t="s">
        <v>8</v>
      </c>
      <c r="C3" t="s">
        <v>9</v>
      </c>
      <c r="D3">
        <v>7.88</v>
      </c>
      <c r="E3">
        <v>153</v>
      </c>
      <c r="F3">
        <v>16627.46</v>
      </c>
      <c r="G3">
        <v>2460040</v>
      </c>
    </row>
    <row r="4" spans="1:7">
      <c r="A4" t="s">
        <v>10</v>
      </c>
      <c r="B4" t="s">
        <v>8</v>
      </c>
      <c r="C4" t="s">
        <v>11</v>
      </c>
      <c r="D4">
        <v>11.61</v>
      </c>
      <c r="E4">
        <v>248</v>
      </c>
      <c r="F4">
        <v>19902.400000000001</v>
      </c>
      <c r="G4">
        <v>2332727</v>
      </c>
    </row>
    <row r="5" spans="1:7">
      <c r="A5" t="s">
        <v>12</v>
      </c>
      <c r="B5" t="s">
        <v>8</v>
      </c>
      <c r="C5" t="s">
        <v>9</v>
      </c>
      <c r="D5">
        <v>5.03</v>
      </c>
      <c r="E5">
        <v>162</v>
      </c>
      <c r="F5">
        <v>6422.56</v>
      </c>
      <c r="G5">
        <v>3185701</v>
      </c>
    </row>
    <row r="6" spans="1:7">
      <c r="A6" t="s">
        <v>13</v>
      </c>
      <c r="B6" t="s">
        <v>14</v>
      </c>
      <c r="C6" t="s">
        <v>15</v>
      </c>
      <c r="D6">
        <v>9.0500000000000007</v>
      </c>
      <c r="E6">
        <v>316</v>
      </c>
      <c r="F6">
        <v>2565.38</v>
      </c>
      <c r="G6">
        <v>3537872</v>
      </c>
    </row>
    <row r="7" spans="1:7">
      <c r="A7" t="s">
        <v>16</v>
      </c>
      <c r="B7" t="s">
        <v>8</v>
      </c>
      <c r="C7" t="s">
        <v>15</v>
      </c>
      <c r="D7">
        <v>11.85</v>
      </c>
      <c r="E7">
        <v>284</v>
      </c>
      <c r="F7">
        <v>17904.8</v>
      </c>
      <c r="G7">
        <v>2514646</v>
      </c>
    </row>
    <row r="8" spans="1:7">
      <c r="A8" t="s">
        <v>12</v>
      </c>
      <c r="B8" t="s">
        <v>8</v>
      </c>
      <c r="C8" t="s">
        <v>17</v>
      </c>
      <c r="D8">
        <v>8.59</v>
      </c>
      <c r="E8">
        <v>121</v>
      </c>
      <c r="F8">
        <v>10215.33</v>
      </c>
      <c r="G8">
        <v>1920874</v>
      </c>
    </row>
    <row r="9" spans="1:7">
      <c r="A9" t="s">
        <v>7</v>
      </c>
      <c r="B9" t="s">
        <v>14</v>
      </c>
      <c r="C9" t="s">
        <v>15</v>
      </c>
      <c r="D9">
        <v>3.35</v>
      </c>
      <c r="E9">
        <v>110</v>
      </c>
      <c r="F9">
        <v>17186.759999999998</v>
      </c>
      <c r="G9">
        <v>4410111</v>
      </c>
    </row>
    <row r="10" spans="1:7">
      <c r="A10" t="s">
        <v>12</v>
      </c>
      <c r="B10" t="s">
        <v>8</v>
      </c>
      <c r="C10" t="s">
        <v>18</v>
      </c>
      <c r="D10">
        <v>5.56</v>
      </c>
      <c r="E10">
        <v>94</v>
      </c>
      <c r="F10">
        <v>17815.78</v>
      </c>
      <c r="G10">
        <v>3976092</v>
      </c>
    </row>
    <row r="11" spans="1:7">
      <c r="A11" t="s">
        <v>12</v>
      </c>
      <c r="B11" t="s">
        <v>8</v>
      </c>
      <c r="C11" t="s">
        <v>11</v>
      </c>
      <c r="D11">
        <v>9.11</v>
      </c>
      <c r="E11">
        <v>232</v>
      </c>
      <c r="F11">
        <v>15190.5</v>
      </c>
      <c r="G11">
        <v>4081393</v>
      </c>
    </row>
    <row r="12" spans="1:7">
      <c r="A12" t="s">
        <v>13</v>
      </c>
      <c r="B12" t="s">
        <v>14</v>
      </c>
      <c r="C12" t="s">
        <v>15</v>
      </c>
      <c r="D12">
        <v>10.36</v>
      </c>
      <c r="E12">
        <v>280</v>
      </c>
      <c r="F12">
        <v>7438.91</v>
      </c>
      <c r="G12">
        <v>1832239</v>
      </c>
    </row>
    <row r="13" spans="1:7">
      <c r="A13" t="s">
        <v>12</v>
      </c>
      <c r="B13" t="s">
        <v>8</v>
      </c>
      <c r="C13" t="s">
        <v>9</v>
      </c>
      <c r="D13">
        <v>7.85</v>
      </c>
      <c r="E13">
        <v>247</v>
      </c>
      <c r="F13">
        <v>18145.52</v>
      </c>
      <c r="G13">
        <v>2511783</v>
      </c>
    </row>
    <row r="14" spans="1:7">
      <c r="A14" t="s">
        <v>10</v>
      </c>
      <c r="B14" t="s">
        <v>8</v>
      </c>
      <c r="C14" t="s">
        <v>15</v>
      </c>
      <c r="D14">
        <v>1.47</v>
      </c>
      <c r="E14">
        <v>176</v>
      </c>
      <c r="F14">
        <v>10235.84</v>
      </c>
      <c r="G14">
        <v>1341754</v>
      </c>
    </row>
    <row r="15" spans="1:7">
      <c r="A15" t="s">
        <v>10</v>
      </c>
      <c r="B15" t="s">
        <v>14</v>
      </c>
      <c r="C15" t="s">
        <v>17</v>
      </c>
      <c r="D15">
        <v>10.06</v>
      </c>
      <c r="E15">
        <v>106</v>
      </c>
      <c r="F15">
        <v>19669.509999999998</v>
      </c>
      <c r="G15">
        <v>573981</v>
      </c>
    </row>
    <row r="16" spans="1:7">
      <c r="A16" t="s">
        <v>16</v>
      </c>
      <c r="B16" t="s">
        <v>8</v>
      </c>
      <c r="C16" t="s">
        <v>15</v>
      </c>
      <c r="D16">
        <v>6.56</v>
      </c>
      <c r="E16">
        <v>190</v>
      </c>
      <c r="F16">
        <v>16662.650000000001</v>
      </c>
      <c r="G16">
        <v>2383435</v>
      </c>
    </row>
    <row r="17" spans="1:7">
      <c r="A17" t="s">
        <v>10</v>
      </c>
      <c r="B17" t="s">
        <v>14</v>
      </c>
      <c r="C17" t="s">
        <v>9</v>
      </c>
      <c r="D17">
        <v>10.38</v>
      </c>
      <c r="E17">
        <v>216</v>
      </c>
      <c r="F17">
        <v>15585.67</v>
      </c>
      <c r="G17">
        <v>1940800</v>
      </c>
    </row>
    <row r="18" spans="1:7">
      <c r="A18" t="s">
        <v>12</v>
      </c>
      <c r="B18" t="s">
        <v>8</v>
      </c>
      <c r="C18" t="s">
        <v>9</v>
      </c>
      <c r="D18">
        <v>6.3</v>
      </c>
      <c r="E18">
        <v>79</v>
      </c>
      <c r="F18">
        <v>5180.99</v>
      </c>
      <c r="G18">
        <v>4067586</v>
      </c>
    </row>
    <row r="19" spans="1:7">
      <c r="A19" t="s">
        <v>10</v>
      </c>
      <c r="B19" t="s">
        <v>14</v>
      </c>
      <c r="C19" t="s">
        <v>17</v>
      </c>
      <c r="D19">
        <v>8.75</v>
      </c>
      <c r="E19">
        <v>154</v>
      </c>
      <c r="F19">
        <v>17261.45</v>
      </c>
      <c r="G19">
        <v>2291103</v>
      </c>
    </row>
    <row r="20" spans="1:7">
      <c r="A20" t="s">
        <v>12</v>
      </c>
      <c r="B20" t="s">
        <v>14</v>
      </c>
      <c r="C20" t="s">
        <v>11</v>
      </c>
      <c r="D20">
        <v>3.98</v>
      </c>
      <c r="E20">
        <v>66</v>
      </c>
      <c r="F20">
        <v>3716.58</v>
      </c>
      <c r="G20">
        <v>4224650</v>
      </c>
    </row>
    <row r="21" spans="1:7">
      <c r="A21" t="s">
        <v>13</v>
      </c>
      <c r="B21" t="s">
        <v>8</v>
      </c>
      <c r="C21" t="s">
        <v>11</v>
      </c>
      <c r="D21">
        <v>10.210000000000001</v>
      </c>
      <c r="E21">
        <v>249</v>
      </c>
      <c r="F21">
        <v>4424.07</v>
      </c>
      <c r="G21">
        <v>3086191</v>
      </c>
    </row>
    <row r="22" spans="1:7">
      <c r="A22" t="s">
        <v>7</v>
      </c>
      <c r="B22" t="s">
        <v>14</v>
      </c>
      <c r="C22" t="s">
        <v>15</v>
      </c>
      <c r="D22">
        <v>10.06</v>
      </c>
      <c r="E22">
        <v>248</v>
      </c>
      <c r="F22">
        <v>10414.99</v>
      </c>
      <c r="G22">
        <v>4951593</v>
      </c>
    </row>
    <row r="23" spans="1:7">
      <c r="A23" t="s">
        <v>16</v>
      </c>
      <c r="B23" t="s">
        <v>8</v>
      </c>
      <c r="C23" t="s">
        <v>15</v>
      </c>
      <c r="D23">
        <v>8.17</v>
      </c>
      <c r="E23">
        <v>60</v>
      </c>
      <c r="F23">
        <v>19333.939999999999</v>
      </c>
      <c r="G23">
        <v>3953955</v>
      </c>
    </row>
    <row r="24" spans="1:7">
      <c r="A24" t="s">
        <v>13</v>
      </c>
      <c r="B24" t="s">
        <v>14</v>
      </c>
      <c r="C24" t="s">
        <v>18</v>
      </c>
      <c r="D24">
        <v>3.07</v>
      </c>
      <c r="E24">
        <v>158</v>
      </c>
      <c r="F24">
        <v>10636.21</v>
      </c>
      <c r="G24">
        <v>3482506</v>
      </c>
    </row>
    <row r="25" spans="1:7">
      <c r="A25" t="s">
        <v>12</v>
      </c>
      <c r="B25" t="s">
        <v>8</v>
      </c>
      <c r="C25" t="s">
        <v>15</v>
      </c>
      <c r="D25">
        <v>4.22</v>
      </c>
      <c r="E25">
        <v>243</v>
      </c>
      <c r="F25">
        <v>8959.66</v>
      </c>
      <c r="G25">
        <v>1981851</v>
      </c>
    </row>
    <row r="26" spans="1:7">
      <c r="A26" t="s">
        <v>13</v>
      </c>
      <c r="B26" t="s">
        <v>14</v>
      </c>
      <c r="C26" t="s">
        <v>11</v>
      </c>
      <c r="D26">
        <v>5.33</v>
      </c>
      <c r="E26">
        <v>221</v>
      </c>
      <c r="F26">
        <v>1224.6600000000001</v>
      </c>
      <c r="G26">
        <v>4236286</v>
      </c>
    </row>
    <row r="27" spans="1:7">
      <c r="A27" t="s">
        <v>7</v>
      </c>
      <c r="B27" t="s">
        <v>14</v>
      </c>
      <c r="C27" t="s">
        <v>9</v>
      </c>
      <c r="D27">
        <v>11.34</v>
      </c>
      <c r="E27">
        <v>324</v>
      </c>
      <c r="F27">
        <v>7310.4</v>
      </c>
      <c r="G27">
        <v>2834581</v>
      </c>
    </row>
    <row r="28" spans="1:7">
      <c r="A28" t="s">
        <v>16</v>
      </c>
      <c r="B28" t="s">
        <v>8</v>
      </c>
      <c r="C28" t="s">
        <v>15</v>
      </c>
      <c r="D28">
        <v>9.77</v>
      </c>
      <c r="E28">
        <v>264</v>
      </c>
      <c r="F28">
        <v>13500.47</v>
      </c>
      <c r="G28">
        <v>4152692</v>
      </c>
    </row>
    <row r="29" spans="1:7">
      <c r="A29" t="s">
        <v>13</v>
      </c>
      <c r="B29" t="s">
        <v>8</v>
      </c>
      <c r="C29" t="s">
        <v>15</v>
      </c>
      <c r="D29">
        <v>8.5</v>
      </c>
      <c r="E29">
        <v>315</v>
      </c>
      <c r="F29">
        <v>2226.71</v>
      </c>
      <c r="G29">
        <v>1125970</v>
      </c>
    </row>
    <row r="30" spans="1:7">
      <c r="A30" t="s">
        <v>7</v>
      </c>
      <c r="B30" t="s">
        <v>14</v>
      </c>
      <c r="C30" t="s">
        <v>18</v>
      </c>
      <c r="D30">
        <v>11.87</v>
      </c>
      <c r="E30">
        <v>63</v>
      </c>
      <c r="F30">
        <v>13732</v>
      </c>
      <c r="G30">
        <v>2540231</v>
      </c>
    </row>
    <row r="31" spans="1:7">
      <c r="A31" t="s">
        <v>16</v>
      </c>
      <c r="B31" t="s">
        <v>8</v>
      </c>
      <c r="C31" t="s">
        <v>17</v>
      </c>
      <c r="D31">
        <v>9.75</v>
      </c>
      <c r="E31">
        <v>288</v>
      </c>
      <c r="F31">
        <v>3884.68</v>
      </c>
      <c r="G31">
        <v>4677788</v>
      </c>
    </row>
    <row r="32" spans="1:7">
      <c r="A32" t="s">
        <v>13</v>
      </c>
      <c r="B32" t="s">
        <v>8</v>
      </c>
      <c r="C32" t="s">
        <v>11</v>
      </c>
      <c r="D32">
        <v>2.21</v>
      </c>
      <c r="E32">
        <v>238</v>
      </c>
      <c r="F32">
        <v>1565.05</v>
      </c>
      <c r="G32">
        <v>4697677</v>
      </c>
    </row>
    <row r="33" spans="1:7">
      <c r="A33" t="s">
        <v>16</v>
      </c>
      <c r="B33" t="s">
        <v>8</v>
      </c>
      <c r="C33" t="s">
        <v>18</v>
      </c>
      <c r="D33">
        <v>6.4</v>
      </c>
      <c r="E33">
        <v>188</v>
      </c>
      <c r="F33">
        <v>14372.79</v>
      </c>
      <c r="G33">
        <v>3394171</v>
      </c>
    </row>
    <row r="34" spans="1:7">
      <c r="A34" t="s">
        <v>12</v>
      </c>
      <c r="B34" t="s">
        <v>8</v>
      </c>
      <c r="C34" t="s">
        <v>15</v>
      </c>
      <c r="D34">
        <v>10.45</v>
      </c>
      <c r="E34">
        <v>202</v>
      </c>
      <c r="F34">
        <v>14612.47</v>
      </c>
      <c r="G34">
        <v>4048728</v>
      </c>
    </row>
    <row r="35" spans="1:7">
      <c r="A35" t="s">
        <v>16</v>
      </c>
      <c r="B35" t="s">
        <v>8</v>
      </c>
      <c r="C35" t="s">
        <v>18</v>
      </c>
      <c r="D35">
        <v>6.52</v>
      </c>
      <c r="E35">
        <v>116</v>
      </c>
      <c r="F35">
        <v>14269.12</v>
      </c>
      <c r="G35">
        <v>3241671</v>
      </c>
    </row>
    <row r="36" spans="1:7">
      <c r="A36" t="s">
        <v>12</v>
      </c>
      <c r="B36" t="s">
        <v>14</v>
      </c>
      <c r="C36" t="s">
        <v>15</v>
      </c>
      <c r="D36">
        <v>9.33</v>
      </c>
      <c r="E36">
        <v>92</v>
      </c>
      <c r="F36">
        <v>14059.25</v>
      </c>
      <c r="G36">
        <v>2290898</v>
      </c>
    </row>
    <row r="37" spans="1:7">
      <c r="A37" t="s">
        <v>7</v>
      </c>
      <c r="B37" t="s">
        <v>8</v>
      </c>
      <c r="C37" t="s">
        <v>15</v>
      </c>
      <c r="D37">
        <v>6.02</v>
      </c>
      <c r="E37">
        <v>273</v>
      </c>
      <c r="F37">
        <v>10398.9</v>
      </c>
      <c r="G37">
        <v>2048737</v>
      </c>
    </row>
    <row r="38" spans="1:7">
      <c r="A38" t="s">
        <v>12</v>
      </c>
      <c r="B38" t="s">
        <v>14</v>
      </c>
      <c r="C38" t="s">
        <v>17</v>
      </c>
      <c r="D38">
        <v>4.07</v>
      </c>
      <c r="E38">
        <v>259</v>
      </c>
      <c r="F38">
        <v>8112.12</v>
      </c>
      <c r="G38">
        <v>700132</v>
      </c>
    </row>
    <row r="39" spans="1:7">
      <c r="A39" t="s">
        <v>13</v>
      </c>
      <c r="B39" t="s">
        <v>8</v>
      </c>
      <c r="C39" t="s">
        <v>9</v>
      </c>
      <c r="D39">
        <v>10.08</v>
      </c>
      <c r="E39">
        <v>299</v>
      </c>
      <c r="F39">
        <v>17236.240000000002</v>
      </c>
      <c r="G39">
        <v>3324453</v>
      </c>
    </row>
    <row r="40" spans="1:7">
      <c r="A40" t="s">
        <v>13</v>
      </c>
      <c r="B40" t="s">
        <v>8</v>
      </c>
      <c r="C40" t="s">
        <v>15</v>
      </c>
      <c r="D40">
        <v>5.55</v>
      </c>
      <c r="E40">
        <v>159</v>
      </c>
      <c r="F40">
        <v>4281.04</v>
      </c>
      <c r="G40">
        <v>4773470</v>
      </c>
    </row>
    <row r="41" spans="1:7">
      <c r="A41" t="s">
        <v>12</v>
      </c>
      <c r="B41" t="s">
        <v>14</v>
      </c>
      <c r="C41" t="s">
        <v>11</v>
      </c>
      <c r="D41">
        <v>2.96</v>
      </c>
      <c r="E41">
        <v>272</v>
      </c>
      <c r="F41">
        <v>15285.53</v>
      </c>
      <c r="G41">
        <v>4522288</v>
      </c>
    </row>
    <row r="42" spans="1:7">
      <c r="A42" t="s">
        <v>12</v>
      </c>
      <c r="B42" t="s">
        <v>8</v>
      </c>
      <c r="C42" t="s">
        <v>18</v>
      </c>
      <c r="D42">
        <v>8.44</v>
      </c>
      <c r="E42">
        <v>80</v>
      </c>
      <c r="F42">
        <v>1019.21</v>
      </c>
      <c r="G42">
        <v>3305582</v>
      </c>
    </row>
    <row r="43" spans="1:7">
      <c r="A43" t="s">
        <v>13</v>
      </c>
      <c r="B43" t="s">
        <v>8</v>
      </c>
      <c r="C43" t="s">
        <v>11</v>
      </c>
      <c r="D43">
        <v>11.21</v>
      </c>
      <c r="E43">
        <v>307</v>
      </c>
      <c r="F43">
        <v>9331.2000000000007</v>
      </c>
      <c r="G43">
        <v>3094034</v>
      </c>
    </row>
    <row r="44" spans="1:7">
      <c r="A44" t="s">
        <v>10</v>
      </c>
      <c r="B44" t="s">
        <v>8</v>
      </c>
      <c r="C44" t="s">
        <v>11</v>
      </c>
      <c r="D44">
        <v>10.97</v>
      </c>
      <c r="E44">
        <v>69</v>
      </c>
      <c r="F44">
        <v>14153.08</v>
      </c>
      <c r="G44">
        <v>1998189</v>
      </c>
    </row>
    <row r="45" spans="1:7">
      <c r="A45" t="s">
        <v>16</v>
      </c>
      <c r="B45" t="s">
        <v>8</v>
      </c>
      <c r="C45" t="s">
        <v>11</v>
      </c>
      <c r="D45">
        <v>7.51</v>
      </c>
      <c r="E45">
        <v>75</v>
      </c>
      <c r="F45">
        <v>19461.32</v>
      </c>
      <c r="G45">
        <v>2985737</v>
      </c>
    </row>
    <row r="46" spans="1:7">
      <c r="A46" t="s">
        <v>7</v>
      </c>
      <c r="B46" t="s">
        <v>14</v>
      </c>
      <c r="C46" t="s">
        <v>18</v>
      </c>
      <c r="D46">
        <v>2.56</v>
      </c>
      <c r="E46">
        <v>105</v>
      </c>
      <c r="F46">
        <v>17856.97</v>
      </c>
      <c r="G46">
        <v>1916772</v>
      </c>
    </row>
    <row r="47" spans="1:7">
      <c r="A47" t="s">
        <v>16</v>
      </c>
      <c r="B47" t="s">
        <v>8</v>
      </c>
      <c r="C47" t="s">
        <v>17</v>
      </c>
      <c r="D47">
        <v>11.52</v>
      </c>
      <c r="E47">
        <v>58</v>
      </c>
      <c r="F47">
        <v>10660.52</v>
      </c>
      <c r="G47">
        <v>4498876</v>
      </c>
    </row>
    <row r="48" spans="1:7">
      <c r="A48" t="s">
        <v>10</v>
      </c>
      <c r="B48" t="s">
        <v>14</v>
      </c>
      <c r="C48" t="s">
        <v>11</v>
      </c>
      <c r="D48">
        <v>10.64</v>
      </c>
      <c r="E48">
        <v>61</v>
      </c>
      <c r="F48">
        <v>9341.2199999999993</v>
      </c>
      <c r="G48">
        <v>651530</v>
      </c>
    </row>
    <row r="49" spans="1:7">
      <c r="A49" t="s">
        <v>13</v>
      </c>
      <c r="B49" t="s">
        <v>14</v>
      </c>
      <c r="C49" t="s">
        <v>11</v>
      </c>
      <c r="D49">
        <v>6.26</v>
      </c>
      <c r="E49">
        <v>309</v>
      </c>
      <c r="F49">
        <v>18458.41</v>
      </c>
      <c r="G49">
        <v>3121385</v>
      </c>
    </row>
    <row r="50" spans="1:7">
      <c r="A50" t="s">
        <v>16</v>
      </c>
      <c r="B50" t="s">
        <v>8</v>
      </c>
      <c r="C50" t="s">
        <v>15</v>
      </c>
      <c r="D50">
        <v>1.52</v>
      </c>
      <c r="E50">
        <v>178</v>
      </c>
      <c r="F50">
        <v>18497.77</v>
      </c>
      <c r="G50">
        <v>1387967</v>
      </c>
    </row>
    <row r="51" spans="1:7">
      <c r="A51" t="s">
        <v>12</v>
      </c>
      <c r="B51" t="s">
        <v>14</v>
      </c>
      <c r="C51" t="s">
        <v>15</v>
      </c>
      <c r="D51">
        <v>2.83</v>
      </c>
      <c r="E51">
        <v>154</v>
      </c>
      <c r="F51">
        <v>18370.8</v>
      </c>
      <c r="G51">
        <v>1189405</v>
      </c>
    </row>
    <row r="52" spans="1:7">
      <c r="A52" t="s">
        <v>12</v>
      </c>
      <c r="B52" t="s">
        <v>14</v>
      </c>
      <c r="C52" t="s">
        <v>17</v>
      </c>
      <c r="D52">
        <v>2.27</v>
      </c>
      <c r="E52">
        <v>108</v>
      </c>
      <c r="F52">
        <v>5088.8500000000004</v>
      </c>
      <c r="G52">
        <v>3614091</v>
      </c>
    </row>
    <row r="53" spans="1:7">
      <c r="A53" t="s">
        <v>12</v>
      </c>
      <c r="B53" t="s">
        <v>8</v>
      </c>
      <c r="C53" t="s">
        <v>15</v>
      </c>
      <c r="D53">
        <v>9.0500000000000007</v>
      </c>
      <c r="E53">
        <v>304</v>
      </c>
      <c r="F53">
        <v>16980.75</v>
      </c>
      <c r="G53">
        <v>3058674</v>
      </c>
    </row>
    <row r="54" spans="1:7">
      <c r="A54" t="s">
        <v>13</v>
      </c>
      <c r="B54" t="s">
        <v>14</v>
      </c>
      <c r="C54" t="s">
        <v>18</v>
      </c>
      <c r="D54">
        <v>7.61</v>
      </c>
      <c r="E54">
        <v>118</v>
      </c>
      <c r="F54">
        <v>13999.95</v>
      </c>
      <c r="G54">
        <v>4611419</v>
      </c>
    </row>
    <row r="55" spans="1:7">
      <c r="A55" t="s">
        <v>13</v>
      </c>
      <c r="B55" t="s">
        <v>8</v>
      </c>
      <c r="C55" t="s">
        <v>11</v>
      </c>
      <c r="D55">
        <v>6.31</v>
      </c>
      <c r="E55">
        <v>220</v>
      </c>
      <c r="F55">
        <v>19199.400000000001</v>
      </c>
      <c r="G55">
        <v>1337546</v>
      </c>
    </row>
    <row r="56" spans="1:7">
      <c r="A56" t="s">
        <v>12</v>
      </c>
      <c r="B56" t="s">
        <v>8</v>
      </c>
      <c r="C56" t="s">
        <v>17</v>
      </c>
      <c r="D56">
        <v>6</v>
      </c>
      <c r="E56">
        <v>150</v>
      </c>
      <c r="F56">
        <v>18256.080000000002</v>
      </c>
      <c r="G56">
        <v>837359</v>
      </c>
    </row>
    <row r="57" spans="1:7">
      <c r="A57" t="s">
        <v>7</v>
      </c>
      <c r="B57" t="s">
        <v>8</v>
      </c>
      <c r="C57" t="s">
        <v>18</v>
      </c>
      <c r="D57">
        <v>7.91</v>
      </c>
      <c r="E57">
        <v>223</v>
      </c>
      <c r="F57">
        <v>15378.35</v>
      </c>
      <c r="G57">
        <v>2074290</v>
      </c>
    </row>
    <row r="58" spans="1:7">
      <c r="A58" t="s">
        <v>10</v>
      </c>
      <c r="B58" t="s">
        <v>14</v>
      </c>
      <c r="C58" t="s">
        <v>11</v>
      </c>
      <c r="D58">
        <v>2.16</v>
      </c>
      <c r="E58">
        <v>219</v>
      </c>
      <c r="F58">
        <v>15303.38</v>
      </c>
      <c r="G58">
        <v>3042401</v>
      </c>
    </row>
    <row r="59" spans="1:7">
      <c r="A59" t="s">
        <v>16</v>
      </c>
      <c r="B59" t="s">
        <v>8</v>
      </c>
      <c r="C59" t="s">
        <v>9</v>
      </c>
      <c r="D59">
        <v>7.92</v>
      </c>
      <c r="E59">
        <v>324</v>
      </c>
      <c r="F59">
        <v>6307.37</v>
      </c>
      <c r="G59">
        <v>3463382</v>
      </c>
    </row>
    <row r="60" spans="1:7">
      <c r="A60" t="s">
        <v>7</v>
      </c>
      <c r="B60" t="s">
        <v>14</v>
      </c>
      <c r="C60" t="s">
        <v>11</v>
      </c>
      <c r="D60">
        <v>10.220000000000001</v>
      </c>
      <c r="E60">
        <v>125</v>
      </c>
      <c r="F60">
        <v>5985.06</v>
      </c>
      <c r="G60">
        <v>4211703</v>
      </c>
    </row>
    <row r="61" spans="1:7">
      <c r="A61" t="s">
        <v>13</v>
      </c>
      <c r="B61" t="s">
        <v>8</v>
      </c>
      <c r="C61" t="s">
        <v>9</v>
      </c>
      <c r="D61">
        <v>7.51</v>
      </c>
      <c r="E61">
        <v>143</v>
      </c>
      <c r="F61">
        <v>14410.33</v>
      </c>
      <c r="G61">
        <v>4838300</v>
      </c>
    </row>
    <row r="62" spans="1:7">
      <c r="A62" t="s">
        <v>16</v>
      </c>
      <c r="B62" t="s">
        <v>8</v>
      </c>
      <c r="C62" t="s">
        <v>17</v>
      </c>
      <c r="D62">
        <v>9.7799999999999994</v>
      </c>
      <c r="E62">
        <v>179</v>
      </c>
      <c r="F62">
        <v>19368.099999999999</v>
      </c>
      <c r="G62">
        <v>3968966</v>
      </c>
    </row>
    <row r="63" spans="1:7">
      <c r="A63" t="s">
        <v>13</v>
      </c>
      <c r="B63" t="s">
        <v>14</v>
      </c>
      <c r="C63" t="s">
        <v>17</v>
      </c>
      <c r="D63">
        <v>3.06</v>
      </c>
      <c r="E63">
        <v>97</v>
      </c>
      <c r="F63">
        <v>10070.52</v>
      </c>
      <c r="G63">
        <v>4864979</v>
      </c>
    </row>
    <row r="64" spans="1:7">
      <c r="A64" t="s">
        <v>7</v>
      </c>
      <c r="B64" t="s">
        <v>8</v>
      </c>
      <c r="C64" t="s">
        <v>9</v>
      </c>
      <c r="D64">
        <v>6.58</v>
      </c>
      <c r="E64">
        <v>73</v>
      </c>
      <c r="F64">
        <v>5037.3900000000003</v>
      </c>
      <c r="G64">
        <v>3941343</v>
      </c>
    </row>
    <row r="65" spans="1:7">
      <c r="A65" t="s">
        <v>13</v>
      </c>
      <c r="B65" t="s">
        <v>14</v>
      </c>
      <c r="C65" t="s">
        <v>9</v>
      </c>
      <c r="D65">
        <v>5.36</v>
      </c>
      <c r="E65">
        <v>142</v>
      </c>
      <c r="F65">
        <v>2516.52</v>
      </c>
      <c r="G65">
        <v>4266289</v>
      </c>
    </row>
    <row r="66" spans="1:7">
      <c r="A66" t="s">
        <v>12</v>
      </c>
      <c r="B66" t="s">
        <v>14</v>
      </c>
      <c r="C66" t="s">
        <v>18</v>
      </c>
      <c r="D66">
        <v>7.49</v>
      </c>
      <c r="E66">
        <v>124</v>
      </c>
      <c r="F66">
        <v>12121.56</v>
      </c>
      <c r="G66">
        <v>1495282</v>
      </c>
    </row>
    <row r="67" spans="1:7">
      <c r="A67" t="s">
        <v>7</v>
      </c>
      <c r="B67" t="s">
        <v>8</v>
      </c>
      <c r="C67" t="s">
        <v>11</v>
      </c>
      <c r="D67">
        <v>11.32</v>
      </c>
      <c r="E67">
        <v>285</v>
      </c>
      <c r="F67">
        <v>2838.56</v>
      </c>
      <c r="G67">
        <v>2010338</v>
      </c>
    </row>
    <row r="68" spans="1:7">
      <c r="A68" t="s">
        <v>12</v>
      </c>
      <c r="B68" t="s">
        <v>14</v>
      </c>
      <c r="C68" t="s">
        <v>9</v>
      </c>
      <c r="D68">
        <v>10.68</v>
      </c>
      <c r="E68">
        <v>213</v>
      </c>
      <c r="F68">
        <v>14320.74</v>
      </c>
      <c r="G68">
        <v>767373</v>
      </c>
    </row>
    <row r="69" spans="1:7">
      <c r="A69" t="s">
        <v>16</v>
      </c>
      <c r="B69" t="s">
        <v>8</v>
      </c>
      <c r="C69" t="s">
        <v>11</v>
      </c>
      <c r="D69">
        <v>2.87</v>
      </c>
      <c r="E69">
        <v>170</v>
      </c>
      <c r="F69">
        <v>1411.8</v>
      </c>
      <c r="G69">
        <v>1627551</v>
      </c>
    </row>
    <row r="70" spans="1:7">
      <c r="A70" t="s">
        <v>16</v>
      </c>
      <c r="B70" t="s">
        <v>8</v>
      </c>
      <c r="C70" t="s">
        <v>17</v>
      </c>
      <c r="D70">
        <v>2.85</v>
      </c>
      <c r="E70">
        <v>111</v>
      </c>
      <c r="F70">
        <v>14007.86</v>
      </c>
      <c r="G70">
        <v>2208002</v>
      </c>
    </row>
    <row r="71" spans="1:7">
      <c r="A71" t="s">
        <v>12</v>
      </c>
      <c r="B71" t="s">
        <v>14</v>
      </c>
      <c r="C71" t="s">
        <v>15</v>
      </c>
      <c r="D71">
        <v>2.83</v>
      </c>
      <c r="E71">
        <v>256</v>
      </c>
      <c r="F71">
        <v>6959.5</v>
      </c>
      <c r="G71">
        <v>3155845</v>
      </c>
    </row>
    <row r="72" spans="1:7">
      <c r="A72" t="s">
        <v>16</v>
      </c>
      <c r="B72" t="s">
        <v>8</v>
      </c>
      <c r="C72" t="s">
        <v>18</v>
      </c>
      <c r="D72">
        <v>11.1</v>
      </c>
      <c r="E72">
        <v>172</v>
      </c>
      <c r="F72">
        <v>14481.76</v>
      </c>
      <c r="G72">
        <v>4378248</v>
      </c>
    </row>
    <row r="73" spans="1:7">
      <c r="A73" t="s">
        <v>13</v>
      </c>
      <c r="B73" t="s">
        <v>8</v>
      </c>
      <c r="C73" t="s">
        <v>11</v>
      </c>
      <c r="D73">
        <v>10.72</v>
      </c>
      <c r="E73">
        <v>145</v>
      </c>
      <c r="F73">
        <v>14368.58</v>
      </c>
      <c r="G73">
        <v>3332155</v>
      </c>
    </row>
    <row r="74" spans="1:7">
      <c r="A74" t="s">
        <v>10</v>
      </c>
      <c r="B74" t="s">
        <v>14</v>
      </c>
      <c r="C74" t="s">
        <v>9</v>
      </c>
      <c r="D74">
        <v>8.51</v>
      </c>
      <c r="E74">
        <v>52</v>
      </c>
      <c r="F74">
        <v>13554.02</v>
      </c>
      <c r="G74">
        <v>2113242</v>
      </c>
    </row>
    <row r="75" spans="1:7">
      <c r="A75" t="s">
        <v>7</v>
      </c>
      <c r="B75" t="s">
        <v>14</v>
      </c>
      <c r="C75" t="s">
        <v>17</v>
      </c>
      <c r="D75">
        <v>3.03</v>
      </c>
      <c r="E75">
        <v>162</v>
      </c>
      <c r="F75">
        <v>3239.36</v>
      </c>
      <c r="G75">
        <v>3813020</v>
      </c>
    </row>
    <row r="76" spans="1:7">
      <c r="A76" t="s">
        <v>7</v>
      </c>
      <c r="B76" t="s">
        <v>14</v>
      </c>
      <c r="C76" t="s">
        <v>17</v>
      </c>
      <c r="D76">
        <v>10.96</v>
      </c>
      <c r="E76">
        <v>271</v>
      </c>
      <c r="F76">
        <v>9742.5499999999993</v>
      </c>
      <c r="G76">
        <v>2918906</v>
      </c>
    </row>
    <row r="77" spans="1:7">
      <c r="A77" t="s">
        <v>13</v>
      </c>
      <c r="B77" t="s">
        <v>14</v>
      </c>
      <c r="C77" t="s">
        <v>9</v>
      </c>
      <c r="D77">
        <v>4.1100000000000003</v>
      </c>
      <c r="E77">
        <v>122</v>
      </c>
      <c r="F77">
        <v>3126.49</v>
      </c>
      <c r="G77">
        <v>3187091</v>
      </c>
    </row>
    <row r="78" spans="1:7">
      <c r="A78" t="s">
        <v>10</v>
      </c>
      <c r="B78" t="s">
        <v>8</v>
      </c>
      <c r="C78" t="s">
        <v>17</v>
      </c>
      <c r="D78">
        <v>6.06</v>
      </c>
      <c r="E78">
        <v>322</v>
      </c>
      <c r="F78">
        <v>12289.56</v>
      </c>
      <c r="G78">
        <v>2585564</v>
      </c>
    </row>
    <row r="79" spans="1:7">
      <c r="A79" t="s">
        <v>7</v>
      </c>
      <c r="B79" t="s">
        <v>8</v>
      </c>
      <c r="C79" t="s">
        <v>9</v>
      </c>
      <c r="D79">
        <v>11.45</v>
      </c>
      <c r="E79">
        <v>196</v>
      </c>
      <c r="F79">
        <v>10667.18</v>
      </c>
      <c r="G79">
        <v>3054559</v>
      </c>
    </row>
    <row r="80" spans="1:7">
      <c r="A80" t="s">
        <v>7</v>
      </c>
      <c r="B80" t="s">
        <v>14</v>
      </c>
      <c r="C80" t="s">
        <v>17</v>
      </c>
      <c r="D80">
        <v>2.27</v>
      </c>
      <c r="E80">
        <v>52</v>
      </c>
      <c r="F80">
        <v>4235.3100000000004</v>
      </c>
      <c r="G80">
        <v>2646002</v>
      </c>
    </row>
    <row r="81" spans="1:7">
      <c r="A81" t="s">
        <v>7</v>
      </c>
      <c r="B81" t="s">
        <v>8</v>
      </c>
      <c r="C81" t="s">
        <v>18</v>
      </c>
      <c r="D81">
        <v>1.1399999999999999</v>
      </c>
      <c r="E81">
        <v>276</v>
      </c>
      <c r="F81">
        <v>6617.21</v>
      </c>
      <c r="G81">
        <v>1374112</v>
      </c>
    </row>
    <row r="82" spans="1:7">
      <c r="A82" t="s">
        <v>10</v>
      </c>
      <c r="B82" t="s">
        <v>8</v>
      </c>
      <c r="C82" t="s">
        <v>17</v>
      </c>
      <c r="D82">
        <v>11.35</v>
      </c>
      <c r="E82">
        <v>292</v>
      </c>
      <c r="F82">
        <v>10568.81</v>
      </c>
      <c r="G82">
        <v>2347816</v>
      </c>
    </row>
    <row r="83" spans="1:7">
      <c r="A83" t="s">
        <v>12</v>
      </c>
      <c r="B83" t="s">
        <v>8</v>
      </c>
      <c r="C83" t="s">
        <v>9</v>
      </c>
      <c r="D83">
        <v>8.5500000000000007</v>
      </c>
      <c r="E83">
        <v>50</v>
      </c>
      <c r="F83">
        <v>15460.7</v>
      </c>
      <c r="G83">
        <v>1872082</v>
      </c>
    </row>
    <row r="84" spans="1:7">
      <c r="A84" t="s">
        <v>7</v>
      </c>
      <c r="B84" t="s">
        <v>14</v>
      </c>
      <c r="C84" t="s">
        <v>18</v>
      </c>
      <c r="D84">
        <v>2.99</v>
      </c>
      <c r="E84">
        <v>330</v>
      </c>
      <c r="F84">
        <v>4322.1099999999997</v>
      </c>
      <c r="G84">
        <v>4704684</v>
      </c>
    </row>
    <row r="85" spans="1:7">
      <c r="A85" t="s">
        <v>10</v>
      </c>
      <c r="B85" t="s">
        <v>14</v>
      </c>
      <c r="C85" t="s">
        <v>15</v>
      </c>
      <c r="D85">
        <v>3</v>
      </c>
      <c r="E85">
        <v>218</v>
      </c>
      <c r="F85">
        <v>16163.38</v>
      </c>
      <c r="G85">
        <v>3780078</v>
      </c>
    </row>
    <row r="86" spans="1:7">
      <c r="A86" t="s">
        <v>12</v>
      </c>
      <c r="B86" t="s">
        <v>8</v>
      </c>
      <c r="C86" t="s">
        <v>18</v>
      </c>
      <c r="D86">
        <v>6.38</v>
      </c>
      <c r="E86">
        <v>308</v>
      </c>
      <c r="F86">
        <v>18561.310000000001</v>
      </c>
      <c r="G86">
        <v>2654228</v>
      </c>
    </row>
    <row r="87" spans="1:7">
      <c r="A87" t="s">
        <v>7</v>
      </c>
      <c r="B87" t="s">
        <v>8</v>
      </c>
      <c r="C87" t="s">
        <v>9</v>
      </c>
      <c r="D87">
        <v>6.84</v>
      </c>
      <c r="E87">
        <v>185</v>
      </c>
      <c r="F87">
        <v>12170.8</v>
      </c>
      <c r="G87">
        <v>3143828</v>
      </c>
    </row>
    <row r="88" spans="1:7">
      <c r="A88" t="s">
        <v>10</v>
      </c>
      <c r="B88" t="s">
        <v>14</v>
      </c>
      <c r="C88" t="s">
        <v>18</v>
      </c>
      <c r="D88">
        <v>11.56</v>
      </c>
      <c r="E88">
        <v>290</v>
      </c>
      <c r="F88">
        <v>9377.7000000000007</v>
      </c>
      <c r="G88">
        <v>3855632</v>
      </c>
    </row>
    <row r="89" spans="1:7">
      <c r="A89" t="s">
        <v>16</v>
      </c>
      <c r="B89" t="s">
        <v>8</v>
      </c>
      <c r="C89" t="s">
        <v>15</v>
      </c>
      <c r="D89">
        <v>1.22</v>
      </c>
      <c r="E89">
        <v>65</v>
      </c>
      <c r="F89">
        <v>11200.91</v>
      </c>
      <c r="G89">
        <v>1385350</v>
      </c>
    </row>
    <row r="90" spans="1:7">
      <c r="A90" t="s">
        <v>7</v>
      </c>
      <c r="B90" t="s">
        <v>14</v>
      </c>
      <c r="C90" t="s">
        <v>11</v>
      </c>
      <c r="D90">
        <v>10.25</v>
      </c>
      <c r="E90">
        <v>222</v>
      </c>
      <c r="F90">
        <v>10970.84</v>
      </c>
      <c r="G90">
        <v>2588307</v>
      </c>
    </row>
    <row r="91" spans="1:7">
      <c r="A91" t="s">
        <v>7</v>
      </c>
      <c r="B91" t="s">
        <v>8</v>
      </c>
      <c r="C91" t="s">
        <v>15</v>
      </c>
      <c r="D91">
        <v>3.69</v>
      </c>
      <c r="E91">
        <v>228</v>
      </c>
      <c r="F91">
        <v>17990.7</v>
      </c>
      <c r="G91">
        <v>2116053</v>
      </c>
    </row>
    <row r="92" spans="1:7">
      <c r="A92" t="s">
        <v>16</v>
      </c>
      <c r="B92" t="s">
        <v>14</v>
      </c>
      <c r="C92" t="s">
        <v>17</v>
      </c>
      <c r="D92">
        <v>10.8</v>
      </c>
      <c r="E92">
        <v>197</v>
      </c>
      <c r="F92">
        <v>2026.25</v>
      </c>
      <c r="G92">
        <v>3705771</v>
      </c>
    </row>
    <row r="93" spans="1:7">
      <c r="A93" t="s">
        <v>16</v>
      </c>
      <c r="B93" t="s">
        <v>8</v>
      </c>
      <c r="C93" t="s">
        <v>9</v>
      </c>
      <c r="D93">
        <v>8.85</v>
      </c>
      <c r="E93">
        <v>328</v>
      </c>
      <c r="F93">
        <v>7524.61</v>
      </c>
      <c r="G93">
        <v>4501667</v>
      </c>
    </row>
    <row r="94" spans="1:7">
      <c r="A94" t="s">
        <v>12</v>
      </c>
      <c r="B94" t="s">
        <v>14</v>
      </c>
      <c r="C94" t="s">
        <v>18</v>
      </c>
      <c r="D94">
        <v>9.48</v>
      </c>
      <c r="E94">
        <v>176</v>
      </c>
      <c r="F94">
        <v>1434.19</v>
      </c>
      <c r="G94">
        <v>629076</v>
      </c>
    </row>
    <row r="95" spans="1:7">
      <c r="A95" t="s">
        <v>16</v>
      </c>
      <c r="B95" t="s">
        <v>8</v>
      </c>
      <c r="C95" t="s">
        <v>18</v>
      </c>
      <c r="D95">
        <v>9.01</v>
      </c>
      <c r="E95">
        <v>73</v>
      </c>
      <c r="F95">
        <v>9489.6</v>
      </c>
      <c r="G95">
        <v>3584566</v>
      </c>
    </row>
    <row r="96" spans="1:7">
      <c r="A96" t="s">
        <v>13</v>
      </c>
      <c r="B96" t="s">
        <v>8</v>
      </c>
      <c r="C96" t="s">
        <v>9</v>
      </c>
      <c r="D96">
        <v>4.93</v>
      </c>
      <c r="E96">
        <v>211</v>
      </c>
      <c r="F96">
        <v>11299.43</v>
      </c>
      <c r="G96">
        <v>1605906</v>
      </c>
    </row>
    <row r="97" spans="1:7">
      <c r="A97" t="s">
        <v>16</v>
      </c>
      <c r="B97" t="s">
        <v>8</v>
      </c>
      <c r="C97" t="s">
        <v>17</v>
      </c>
      <c r="D97">
        <v>7.7</v>
      </c>
      <c r="E97">
        <v>239</v>
      </c>
      <c r="F97">
        <v>8138.33</v>
      </c>
      <c r="G97">
        <v>4543088</v>
      </c>
    </row>
    <row r="98" spans="1:7">
      <c r="A98" t="s">
        <v>16</v>
      </c>
      <c r="B98" t="s">
        <v>8</v>
      </c>
      <c r="C98" t="s">
        <v>9</v>
      </c>
      <c r="D98">
        <v>5.68</v>
      </c>
      <c r="E98">
        <v>193</v>
      </c>
      <c r="F98">
        <v>19706.59</v>
      </c>
      <c r="G98">
        <v>1097497</v>
      </c>
    </row>
    <row r="99" spans="1:7">
      <c r="A99" t="s">
        <v>12</v>
      </c>
      <c r="B99" t="s">
        <v>8</v>
      </c>
      <c r="C99" t="s">
        <v>17</v>
      </c>
      <c r="D99">
        <v>4.12</v>
      </c>
      <c r="E99">
        <v>336</v>
      </c>
      <c r="F99">
        <v>16417.63</v>
      </c>
      <c r="G99">
        <v>2516159</v>
      </c>
    </row>
    <row r="100" spans="1:7">
      <c r="A100" t="s">
        <v>16</v>
      </c>
      <c r="B100" t="s">
        <v>14</v>
      </c>
      <c r="C100" t="s">
        <v>15</v>
      </c>
      <c r="D100">
        <v>7</v>
      </c>
      <c r="E100">
        <v>101</v>
      </c>
      <c r="F100">
        <v>17680.75</v>
      </c>
      <c r="G100">
        <v>1881162</v>
      </c>
    </row>
    <row r="101" spans="1:7">
      <c r="A101" t="s">
        <v>13</v>
      </c>
      <c r="B101" t="s">
        <v>8</v>
      </c>
      <c r="C101" t="s">
        <v>11</v>
      </c>
      <c r="D101">
        <v>5.51</v>
      </c>
      <c r="E101">
        <v>243</v>
      </c>
      <c r="F101">
        <v>11596.19</v>
      </c>
      <c r="G101">
        <v>4666671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H24"/>
  <sheetViews>
    <sheetView zoomScale="72" zoomScaleNormal="72" workbookViewId="0">
      <selection activeCell="L20" sqref="L20"/>
    </sheetView>
  </sheetViews>
  <sheetFormatPr defaultRowHeight="15"/>
  <cols>
    <col min="1" max="1" width="18.85546875" bestFit="1" customWidth="1"/>
    <col min="2" max="2" width="27.5703125" customWidth="1"/>
    <col min="3" max="3" width="12.85546875" customWidth="1"/>
    <col min="4" max="5" width="15.28515625" customWidth="1"/>
    <col min="6" max="6" width="16.5703125" customWidth="1"/>
    <col min="7" max="7" width="16.28515625" customWidth="1"/>
    <col min="8" max="8" width="31.5703125" bestFit="1" customWidth="1"/>
  </cols>
  <sheetData>
    <row r="3" spans="1:8">
      <c r="A3" s="1" t="s">
        <v>19</v>
      </c>
      <c r="B3" t="s">
        <v>21</v>
      </c>
      <c r="F3" s="1" t="s">
        <v>22</v>
      </c>
    </row>
    <row r="4" spans="1:8">
      <c r="A4" s="2" t="s">
        <v>12</v>
      </c>
      <c r="B4" s="3">
        <v>62607132</v>
      </c>
      <c r="E4" s="1" t="s">
        <v>19</v>
      </c>
      <c r="F4" t="s">
        <v>23</v>
      </c>
      <c r="G4" t="s">
        <v>24</v>
      </c>
      <c r="H4" t="s">
        <v>25</v>
      </c>
    </row>
    <row r="5" spans="1:8">
      <c r="A5" s="2" t="s">
        <v>13</v>
      </c>
      <c r="B5" s="3">
        <v>69022439</v>
      </c>
      <c r="E5" s="2" t="s">
        <v>12</v>
      </c>
      <c r="F5" s="3">
        <v>6.482083333333331</v>
      </c>
      <c r="G5" s="3">
        <v>11779.483749999999</v>
      </c>
      <c r="H5" s="3">
        <v>2608630.5</v>
      </c>
    </row>
    <row r="6" spans="1:8">
      <c r="A6" s="2" t="s">
        <v>7</v>
      </c>
      <c r="B6" s="3">
        <v>58090593</v>
      </c>
      <c r="E6" s="2" t="s">
        <v>13</v>
      </c>
      <c r="F6" s="3">
        <v>6.8474999999999993</v>
      </c>
      <c r="G6" s="3">
        <v>8998.7644999999993</v>
      </c>
      <c r="H6" s="3">
        <v>3451121.95</v>
      </c>
    </row>
    <row r="7" spans="1:8">
      <c r="A7" s="2" t="s">
        <v>16</v>
      </c>
      <c r="B7" s="3">
        <v>69536188</v>
      </c>
      <c r="E7" s="2" t="s">
        <v>7</v>
      </c>
      <c r="F7" s="3">
        <v>7.2435</v>
      </c>
      <c r="G7" s="3">
        <v>9362.9519999999993</v>
      </c>
      <c r="H7" s="3">
        <v>2904529.65</v>
      </c>
    </row>
    <row r="8" spans="1:8">
      <c r="A8" s="2" t="s">
        <v>10</v>
      </c>
      <c r="B8" s="3">
        <v>31314857</v>
      </c>
      <c r="E8" s="2" t="s">
        <v>16</v>
      </c>
      <c r="F8" s="3">
        <v>7.4704545454545439</v>
      </c>
      <c r="G8" s="3">
        <v>12722.363181818182</v>
      </c>
      <c r="H8" s="3">
        <v>3160735.8181818184</v>
      </c>
    </row>
    <row r="9" spans="1:8">
      <c r="A9" s="2" t="s">
        <v>20</v>
      </c>
      <c r="B9" s="3">
        <v>290571209</v>
      </c>
      <c r="E9" s="2" t="s">
        <v>10</v>
      </c>
      <c r="F9" s="3">
        <v>8.1714285714285708</v>
      </c>
      <c r="G9" s="3">
        <v>14288.105714285713</v>
      </c>
      <c r="H9" s="3">
        <v>2236775.5</v>
      </c>
    </row>
    <row r="10" spans="1:8">
      <c r="E10" s="2" t="s">
        <v>20</v>
      </c>
      <c r="F10" s="3">
        <v>7.1613999999999978</v>
      </c>
      <c r="G10" s="3">
        <v>11298.674099999998</v>
      </c>
      <c r="H10" s="3">
        <v>2905712.09</v>
      </c>
    </row>
    <row r="12" spans="1:8">
      <c r="A12" s="1" t="s">
        <v>19</v>
      </c>
      <c r="B12" t="s">
        <v>27</v>
      </c>
      <c r="F12" s="1" t="s">
        <v>22</v>
      </c>
    </row>
    <row r="13" spans="1:8">
      <c r="A13" s="2" t="s">
        <v>18</v>
      </c>
      <c r="B13" s="3">
        <v>2.7725071020598898E-2</v>
      </c>
      <c r="E13" s="1" t="s">
        <v>19</v>
      </c>
      <c r="F13" t="s">
        <v>25</v>
      </c>
      <c r="G13" t="s">
        <v>24</v>
      </c>
    </row>
    <row r="14" spans="1:8">
      <c r="A14" s="2" t="s">
        <v>11</v>
      </c>
      <c r="B14" s="3">
        <v>4.1787639521908344E-2</v>
      </c>
      <c r="E14" s="2" t="s">
        <v>14</v>
      </c>
      <c r="F14" s="3">
        <v>2927517.9</v>
      </c>
      <c r="G14" s="3">
        <v>10261.646250000002</v>
      </c>
    </row>
    <row r="15" spans="1:8">
      <c r="A15" s="2" t="s">
        <v>17</v>
      </c>
      <c r="B15" s="3">
        <v>2.5520469229938642E-2</v>
      </c>
      <c r="E15" s="2" t="s">
        <v>8</v>
      </c>
      <c r="F15" s="3">
        <v>2891174.8833333333</v>
      </c>
      <c r="G15" s="3">
        <v>11990.026000000002</v>
      </c>
    </row>
    <row r="16" spans="1:8">
      <c r="A16" s="2" t="s">
        <v>15</v>
      </c>
      <c r="B16" s="3">
        <v>2.6994045392341161E-2</v>
      </c>
      <c r="E16" s="2" t="s">
        <v>20</v>
      </c>
      <c r="F16" s="3">
        <v>2905712.09</v>
      </c>
      <c r="G16" s="3">
        <v>11298.674100000002</v>
      </c>
    </row>
    <row r="17" spans="1:7">
      <c r="A17" s="2" t="s">
        <v>9</v>
      </c>
      <c r="B17" s="3">
        <v>2.5545294070091547E-2</v>
      </c>
    </row>
    <row r="18" spans="1:7">
      <c r="A18" s="2" t="s">
        <v>20</v>
      </c>
      <c r="B18" s="3">
        <v>2.9492821326529514E-2</v>
      </c>
    </row>
    <row r="24" spans="1:7">
      <c r="B24" s="3"/>
      <c r="C24" s="3"/>
      <c r="D24" s="3"/>
      <c r="E24" s="3"/>
      <c r="F24" s="3"/>
      <c r="G24" s="3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>
      <selection activeCell="I19" sqref="I19"/>
    </sheetView>
  </sheetViews>
  <sheetFormatPr defaultRowHeight="15"/>
  <cols>
    <col min="2" max="2" width="12.85546875" customWidth="1"/>
    <col min="3" max="3" width="15.85546875" customWidth="1"/>
    <col min="4" max="4" width="20.85546875" customWidth="1"/>
    <col min="5" max="5" width="17.85546875" customWidth="1"/>
    <col min="6" max="6" width="26" customWidth="1"/>
    <col min="7" max="7" width="22.7109375" customWidth="1"/>
    <col min="8" max="8" width="16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</row>
    <row r="2" spans="1:8">
      <c r="A2" t="s">
        <v>7</v>
      </c>
      <c r="B2" t="s">
        <v>8</v>
      </c>
      <c r="C2" t="s">
        <v>9</v>
      </c>
      <c r="D2">
        <v>11.02</v>
      </c>
      <c r="E2">
        <v>115</v>
      </c>
      <c r="F2">
        <v>1163.5999999999999</v>
      </c>
      <c r="G2">
        <v>791423</v>
      </c>
      <c r="H2" s="4">
        <f t="shared" ref="H2:H33" si="0">E2/F2</f>
        <v>9.883121347542112E-2</v>
      </c>
    </row>
    <row r="3" spans="1:8">
      <c r="A3" t="s">
        <v>10</v>
      </c>
      <c r="B3" t="s">
        <v>8</v>
      </c>
      <c r="C3" t="s">
        <v>9</v>
      </c>
      <c r="D3">
        <v>7.88</v>
      </c>
      <c r="E3">
        <v>153</v>
      </c>
      <c r="F3">
        <v>16627.46</v>
      </c>
      <c r="G3">
        <v>2460040</v>
      </c>
      <c r="H3" s="4">
        <f t="shared" si="0"/>
        <v>9.2016459519373376E-3</v>
      </c>
    </row>
    <row r="4" spans="1:8">
      <c r="A4" t="s">
        <v>10</v>
      </c>
      <c r="B4" t="s">
        <v>8</v>
      </c>
      <c r="C4" t="s">
        <v>11</v>
      </c>
      <c r="D4">
        <v>11.61</v>
      </c>
      <c r="E4">
        <v>248</v>
      </c>
      <c r="F4">
        <v>19902.400000000001</v>
      </c>
      <c r="G4">
        <v>2332727</v>
      </c>
      <c r="H4" s="4">
        <f t="shared" si="0"/>
        <v>1.2460808746683816E-2</v>
      </c>
    </row>
    <row r="5" spans="1:8">
      <c r="A5" t="s">
        <v>12</v>
      </c>
      <c r="B5" t="s">
        <v>8</v>
      </c>
      <c r="C5" t="s">
        <v>9</v>
      </c>
      <c r="D5">
        <v>5.03</v>
      </c>
      <c r="E5">
        <v>162</v>
      </c>
      <c r="F5">
        <v>6422.56</v>
      </c>
      <c r="G5">
        <v>3185701</v>
      </c>
      <c r="H5" s="4">
        <f t="shared" si="0"/>
        <v>2.5223586856331429E-2</v>
      </c>
    </row>
    <row r="6" spans="1:8">
      <c r="A6" t="s">
        <v>13</v>
      </c>
      <c r="B6" t="s">
        <v>14</v>
      </c>
      <c r="C6" t="s">
        <v>15</v>
      </c>
      <c r="D6">
        <v>9.0500000000000007</v>
      </c>
      <c r="E6">
        <v>316</v>
      </c>
      <c r="F6">
        <v>2565.38</v>
      </c>
      <c r="G6">
        <v>3537872</v>
      </c>
      <c r="H6" s="4">
        <f t="shared" si="0"/>
        <v>0.12317863240533565</v>
      </c>
    </row>
    <row r="7" spans="1:8">
      <c r="A7" t="s">
        <v>16</v>
      </c>
      <c r="B7" t="s">
        <v>8</v>
      </c>
      <c r="C7" t="s">
        <v>15</v>
      </c>
      <c r="D7">
        <v>11.85</v>
      </c>
      <c r="E7">
        <v>284</v>
      </c>
      <c r="F7">
        <v>17904.8</v>
      </c>
      <c r="G7">
        <v>2514646</v>
      </c>
      <c r="H7" s="4">
        <f t="shared" si="0"/>
        <v>1.586166837942898E-2</v>
      </c>
    </row>
    <row r="8" spans="1:8">
      <c r="A8" t="s">
        <v>12</v>
      </c>
      <c r="B8" t="s">
        <v>8</v>
      </c>
      <c r="C8" t="s">
        <v>17</v>
      </c>
      <c r="D8">
        <v>8.59</v>
      </c>
      <c r="E8">
        <v>121</v>
      </c>
      <c r="F8">
        <v>10215.33</v>
      </c>
      <c r="G8">
        <v>1920874</v>
      </c>
      <c r="H8" s="4">
        <f t="shared" si="0"/>
        <v>1.1844942845703468E-2</v>
      </c>
    </row>
    <row r="9" spans="1:8">
      <c r="A9" t="s">
        <v>7</v>
      </c>
      <c r="B9" t="s">
        <v>14</v>
      </c>
      <c r="C9" t="s">
        <v>15</v>
      </c>
      <c r="D9">
        <v>3.35</v>
      </c>
      <c r="E9">
        <v>110</v>
      </c>
      <c r="F9">
        <v>17186.759999999998</v>
      </c>
      <c r="G9">
        <v>4410111</v>
      </c>
      <c r="H9" s="4">
        <f t="shared" si="0"/>
        <v>6.4002755609550615E-3</v>
      </c>
    </row>
    <row r="10" spans="1:8">
      <c r="A10" t="s">
        <v>12</v>
      </c>
      <c r="B10" t="s">
        <v>8</v>
      </c>
      <c r="C10" t="s">
        <v>18</v>
      </c>
      <c r="D10">
        <v>5.56</v>
      </c>
      <c r="E10">
        <v>94</v>
      </c>
      <c r="F10">
        <v>17815.78</v>
      </c>
      <c r="G10">
        <v>3976092</v>
      </c>
      <c r="H10" s="4">
        <f t="shared" si="0"/>
        <v>5.2762214171930728E-3</v>
      </c>
    </row>
    <row r="11" spans="1:8">
      <c r="A11" t="s">
        <v>12</v>
      </c>
      <c r="B11" t="s">
        <v>8</v>
      </c>
      <c r="C11" t="s">
        <v>11</v>
      </c>
      <c r="D11">
        <v>9.11</v>
      </c>
      <c r="E11">
        <v>232</v>
      </c>
      <c r="F11">
        <v>15190.5</v>
      </c>
      <c r="G11">
        <v>4081393</v>
      </c>
      <c r="H11" s="4">
        <f t="shared" si="0"/>
        <v>1.5272703334320792E-2</v>
      </c>
    </row>
    <row r="12" spans="1:8">
      <c r="A12" t="s">
        <v>13</v>
      </c>
      <c r="B12" t="s">
        <v>14</v>
      </c>
      <c r="C12" t="s">
        <v>15</v>
      </c>
      <c r="D12">
        <v>10.36</v>
      </c>
      <c r="E12">
        <v>280</v>
      </c>
      <c r="F12">
        <v>7438.91</v>
      </c>
      <c r="G12">
        <v>1832239</v>
      </c>
      <c r="H12" s="4">
        <f t="shared" si="0"/>
        <v>3.7639923053243013E-2</v>
      </c>
    </row>
    <row r="13" spans="1:8">
      <c r="A13" t="s">
        <v>12</v>
      </c>
      <c r="B13" t="s">
        <v>8</v>
      </c>
      <c r="C13" t="s">
        <v>9</v>
      </c>
      <c r="D13">
        <v>7.85</v>
      </c>
      <c r="E13">
        <v>247</v>
      </c>
      <c r="F13">
        <v>18145.52</v>
      </c>
      <c r="G13">
        <v>2511783</v>
      </c>
      <c r="H13" s="4">
        <f t="shared" si="0"/>
        <v>1.3612175346862475E-2</v>
      </c>
    </row>
    <row r="14" spans="1:8">
      <c r="A14" t="s">
        <v>10</v>
      </c>
      <c r="B14" t="s">
        <v>8</v>
      </c>
      <c r="C14" t="s">
        <v>15</v>
      </c>
      <c r="D14">
        <v>1.47</v>
      </c>
      <c r="E14">
        <v>176</v>
      </c>
      <c r="F14">
        <v>10235.84</v>
      </c>
      <c r="G14">
        <v>1341754</v>
      </c>
      <c r="H14" s="4">
        <f t="shared" si="0"/>
        <v>1.7194485259636728E-2</v>
      </c>
    </row>
    <row r="15" spans="1:8">
      <c r="A15" t="s">
        <v>10</v>
      </c>
      <c r="B15" t="s">
        <v>14</v>
      </c>
      <c r="C15" t="s">
        <v>17</v>
      </c>
      <c r="D15">
        <v>10.06</v>
      </c>
      <c r="E15">
        <v>106</v>
      </c>
      <c r="F15">
        <v>19669.509999999998</v>
      </c>
      <c r="G15">
        <v>573981</v>
      </c>
      <c r="H15" s="4">
        <f t="shared" si="0"/>
        <v>5.3890513795208936E-3</v>
      </c>
    </row>
    <row r="16" spans="1:8">
      <c r="A16" t="s">
        <v>16</v>
      </c>
      <c r="B16" t="s">
        <v>8</v>
      </c>
      <c r="C16" t="s">
        <v>15</v>
      </c>
      <c r="D16">
        <v>6.56</v>
      </c>
      <c r="E16">
        <v>190</v>
      </c>
      <c r="F16">
        <v>16662.650000000001</v>
      </c>
      <c r="G16">
        <v>2383435</v>
      </c>
      <c r="H16" s="4">
        <f t="shared" si="0"/>
        <v>1.1402748062283009E-2</v>
      </c>
    </row>
    <row r="17" spans="1:8">
      <c r="A17" t="s">
        <v>10</v>
      </c>
      <c r="B17" t="s">
        <v>14</v>
      </c>
      <c r="C17" t="s">
        <v>9</v>
      </c>
      <c r="D17">
        <v>10.38</v>
      </c>
      <c r="E17">
        <v>216</v>
      </c>
      <c r="F17">
        <v>15585.67</v>
      </c>
      <c r="G17">
        <v>1940800</v>
      </c>
      <c r="H17" s="4">
        <f t="shared" si="0"/>
        <v>1.3858884475290443E-2</v>
      </c>
    </row>
    <row r="18" spans="1:8">
      <c r="A18" t="s">
        <v>12</v>
      </c>
      <c r="B18" t="s">
        <v>8</v>
      </c>
      <c r="C18" t="s">
        <v>9</v>
      </c>
      <c r="D18">
        <v>6.3</v>
      </c>
      <c r="E18">
        <v>79</v>
      </c>
      <c r="F18">
        <v>5180.99</v>
      </c>
      <c r="G18">
        <v>4067586</v>
      </c>
      <c r="H18" s="4">
        <f t="shared" si="0"/>
        <v>1.524805104815875E-2</v>
      </c>
    </row>
    <row r="19" spans="1:8">
      <c r="A19" t="s">
        <v>10</v>
      </c>
      <c r="B19" t="s">
        <v>14</v>
      </c>
      <c r="C19" t="s">
        <v>17</v>
      </c>
      <c r="D19">
        <v>8.75</v>
      </c>
      <c r="E19">
        <v>154</v>
      </c>
      <c r="F19">
        <v>17261.45</v>
      </c>
      <c r="G19">
        <v>2291103</v>
      </c>
      <c r="H19" s="4">
        <f t="shared" si="0"/>
        <v>8.9216143487366346E-3</v>
      </c>
    </row>
    <row r="20" spans="1:8">
      <c r="A20" t="s">
        <v>12</v>
      </c>
      <c r="B20" t="s">
        <v>14</v>
      </c>
      <c r="C20" t="s">
        <v>11</v>
      </c>
      <c r="D20">
        <v>3.98</v>
      </c>
      <c r="E20">
        <v>66</v>
      </c>
      <c r="F20">
        <v>3716.58</v>
      </c>
      <c r="G20">
        <v>4224650</v>
      </c>
      <c r="H20" s="4">
        <f t="shared" si="0"/>
        <v>1.7758261627625397E-2</v>
      </c>
    </row>
    <row r="21" spans="1:8">
      <c r="A21" t="s">
        <v>13</v>
      </c>
      <c r="B21" t="s">
        <v>8</v>
      </c>
      <c r="C21" t="s">
        <v>11</v>
      </c>
      <c r="D21">
        <v>10.210000000000001</v>
      </c>
      <c r="E21">
        <v>249</v>
      </c>
      <c r="F21">
        <v>4424.07</v>
      </c>
      <c r="G21">
        <v>3086191</v>
      </c>
      <c r="H21" s="4">
        <f t="shared" si="0"/>
        <v>5.6283015413408924E-2</v>
      </c>
    </row>
    <row r="22" spans="1:8">
      <c r="A22" t="s">
        <v>7</v>
      </c>
      <c r="B22" t="s">
        <v>14</v>
      </c>
      <c r="C22" t="s">
        <v>15</v>
      </c>
      <c r="D22">
        <v>10.06</v>
      </c>
      <c r="E22">
        <v>248</v>
      </c>
      <c r="F22">
        <v>10414.99</v>
      </c>
      <c r="G22">
        <v>4951593</v>
      </c>
      <c r="H22" s="4">
        <f t="shared" si="0"/>
        <v>2.3811832752599859E-2</v>
      </c>
    </row>
    <row r="23" spans="1:8">
      <c r="A23" t="s">
        <v>16</v>
      </c>
      <c r="B23" t="s">
        <v>8</v>
      </c>
      <c r="C23" t="s">
        <v>15</v>
      </c>
      <c r="D23">
        <v>8.17</v>
      </c>
      <c r="E23">
        <v>60</v>
      </c>
      <c r="F23">
        <v>19333.939999999999</v>
      </c>
      <c r="G23">
        <v>3953955</v>
      </c>
      <c r="H23" s="4">
        <f t="shared" si="0"/>
        <v>3.1033508948512308E-3</v>
      </c>
    </row>
    <row r="24" spans="1:8">
      <c r="A24" t="s">
        <v>13</v>
      </c>
      <c r="B24" t="s">
        <v>14</v>
      </c>
      <c r="C24" t="s">
        <v>18</v>
      </c>
      <c r="D24">
        <v>3.07</v>
      </c>
      <c r="E24">
        <v>158</v>
      </c>
      <c r="F24">
        <v>10636.21</v>
      </c>
      <c r="G24">
        <v>3482506</v>
      </c>
      <c r="H24" s="4">
        <f t="shared" si="0"/>
        <v>1.485491542570145E-2</v>
      </c>
    </row>
    <row r="25" spans="1:8">
      <c r="A25" t="s">
        <v>12</v>
      </c>
      <c r="B25" t="s">
        <v>8</v>
      </c>
      <c r="C25" t="s">
        <v>15</v>
      </c>
      <c r="D25">
        <v>4.22</v>
      </c>
      <c r="E25">
        <v>243</v>
      </c>
      <c r="F25">
        <v>8959.66</v>
      </c>
      <c r="G25">
        <v>1981851</v>
      </c>
      <c r="H25" s="4">
        <f t="shared" si="0"/>
        <v>2.712156488081021E-2</v>
      </c>
    </row>
    <row r="26" spans="1:8">
      <c r="A26" t="s">
        <v>13</v>
      </c>
      <c r="B26" t="s">
        <v>14</v>
      </c>
      <c r="C26" t="s">
        <v>11</v>
      </c>
      <c r="D26">
        <v>5.33</v>
      </c>
      <c r="E26">
        <v>221</v>
      </c>
      <c r="F26">
        <v>1224.6600000000001</v>
      </c>
      <c r="G26">
        <v>4236286</v>
      </c>
      <c r="H26" s="4">
        <f t="shared" si="0"/>
        <v>0.18045824963663382</v>
      </c>
    </row>
    <row r="27" spans="1:8">
      <c r="A27" t="s">
        <v>7</v>
      </c>
      <c r="B27" t="s">
        <v>14</v>
      </c>
      <c r="C27" t="s">
        <v>9</v>
      </c>
      <c r="D27">
        <v>11.34</v>
      </c>
      <c r="E27">
        <v>324</v>
      </c>
      <c r="F27">
        <v>7310.4</v>
      </c>
      <c r="G27">
        <v>2834581</v>
      </c>
      <c r="H27" s="4">
        <f t="shared" si="0"/>
        <v>4.4320420223243603E-2</v>
      </c>
    </row>
    <row r="28" spans="1:8">
      <c r="A28" t="s">
        <v>16</v>
      </c>
      <c r="B28" t="s">
        <v>8</v>
      </c>
      <c r="C28" t="s">
        <v>15</v>
      </c>
      <c r="D28">
        <v>9.77</v>
      </c>
      <c r="E28">
        <v>264</v>
      </c>
      <c r="F28">
        <v>13500.47</v>
      </c>
      <c r="G28">
        <v>4152692</v>
      </c>
      <c r="H28" s="4">
        <f t="shared" si="0"/>
        <v>1.9554874756212193E-2</v>
      </c>
    </row>
    <row r="29" spans="1:8">
      <c r="A29" t="s">
        <v>13</v>
      </c>
      <c r="B29" t="s">
        <v>8</v>
      </c>
      <c r="C29" t="s">
        <v>15</v>
      </c>
      <c r="D29">
        <v>8.5</v>
      </c>
      <c r="E29">
        <v>315</v>
      </c>
      <c r="F29">
        <v>2226.71</v>
      </c>
      <c r="G29">
        <v>1125970</v>
      </c>
      <c r="H29" s="4">
        <f t="shared" si="0"/>
        <v>0.14146431282025948</v>
      </c>
    </row>
    <row r="30" spans="1:8">
      <c r="A30" t="s">
        <v>7</v>
      </c>
      <c r="B30" t="s">
        <v>14</v>
      </c>
      <c r="C30" t="s">
        <v>18</v>
      </c>
      <c r="D30">
        <v>11.87</v>
      </c>
      <c r="E30">
        <v>63</v>
      </c>
      <c r="F30">
        <v>13732</v>
      </c>
      <c r="G30">
        <v>2540231</v>
      </c>
      <c r="H30" s="4">
        <f t="shared" si="0"/>
        <v>4.5878240605884066E-3</v>
      </c>
    </row>
    <row r="31" spans="1:8">
      <c r="A31" t="s">
        <v>16</v>
      </c>
      <c r="B31" t="s">
        <v>8</v>
      </c>
      <c r="C31" t="s">
        <v>17</v>
      </c>
      <c r="D31">
        <v>9.75</v>
      </c>
      <c r="E31">
        <v>288</v>
      </c>
      <c r="F31">
        <v>3884.68</v>
      </c>
      <c r="G31">
        <v>4677788</v>
      </c>
      <c r="H31" s="4">
        <f t="shared" si="0"/>
        <v>7.4137380685152965E-2</v>
      </c>
    </row>
    <row r="32" spans="1:8">
      <c r="A32" t="s">
        <v>13</v>
      </c>
      <c r="B32" t="s">
        <v>8</v>
      </c>
      <c r="C32" t="s">
        <v>11</v>
      </c>
      <c r="D32">
        <v>2.21</v>
      </c>
      <c r="E32">
        <v>238</v>
      </c>
      <c r="F32">
        <v>1565.05</v>
      </c>
      <c r="G32">
        <v>4697677</v>
      </c>
      <c r="H32" s="4">
        <f t="shared" si="0"/>
        <v>0.1520718187917319</v>
      </c>
    </row>
    <row r="33" spans="1:8">
      <c r="A33" t="s">
        <v>16</v>
      </c>
      <c r="B33" t="s">
        <v>8</v>
      </c>
      <c r="C33" t="s">
        <v>18</v>
      </c>
      <c r="D33">
        <v>6.4</v>
      </c>
      <c r="E33">
        <v>188</v>
      </c>
      <c r="F33">
        <v>14372.79</v>
      </c>
      <c r="G33">
        <v>3394171</v>
      </c>
      <c r="H33" s="4">
        <f t="shared" si="0"/>
        <v>1.3080271819180547E-2</v>
      </c>
    </row>
    <row r="34" spans="1:8">
      <c r="A34" t="s">
        <v>12</v>
      </c>
      <c r="B34" t="s">
        <v>8</v>
      </c>
      <c r="C34" t="s">
        <v>15</v>
      </c>
      <c r="D34">
        <v>10.45</v>
      </c>
      <c r="E34">
        <v>202</v>
      </c>
      <c r="F34">
        <v>14612.47</v>
      </c>
      <c r="G34">
        <v>4048728</v>
      </c>
      <c r="H34" s="4">
        <f t="shared" ref="H34:H65" si="1">E34/F34</f>
        <v>1.3823809390198919E-2</v>
      </c>
    </row>
    <row r="35" spans="1:8">
      <c r="A35" t="s">
        <v>16</v>
      </c>
      <c r="B35" t="s">
        <v>8</v>
      </c>
      <c r="C35" t="s">
        <v>18</v>
      </c>
      <c r="D35">
        <v>6.52</v>
      </c>
      <c r="E35">
        <v>116</v>
      </c>
      <c r="F35">
        <v>14269.12</v>
      </c>
      <c r="G35">
        <v>3241671</v>
      </c>
      <c r="H35" s="4">
        <f t="shared" si="1"/>
        <v>8.1294431611760223E-3</v>
      </c>
    </row>
    <row r="36" spans="1:8">
      <c r="A36" t="s">
        <v>12</v>
      </c>
      <c r="B36" t="s">
        <v>14</v>
      </c>
      <c r="C36" t="s">
        <v>15</v>
      </c>
      <c r="D36">
        <v>9.33</v>
      </c>
      <c r="E36">
        <v>92</v>
      </c>
      <c r="F36">
        <v>14059.25</v>
      </c>
      <c r="G36">
        <v>2290898</v>
      </c>
      <c r="H36" s="4">
        <f t="shared" si="1"/>
        <v>6.5437345519853479E-3</v>
      </c>
    </row>
    <row r="37" spans="1:8">
      <c r="A37" t="s">
        <v>7</v>
      </c>
      <c r="B37" t="s">
        <v>8</v>
      </c>
      <c r="C37" t="s">
        <v>15</v>
      </c>
      <c r="D37">
        <v>6.02</v>
      </c>
      <c r="E37">
        <v>273</v>
      </c>
      <c r="F37">
        <v>10398.9</v>
      </c>
      <c r="G37">
        <v>2048737</v>
      </c>
      <c r="H37" s="4">
        <f t="shared" si="1"/>
        <v>2.6252776736000925E-2</v>
      </c>
    </row>
    <row r="38" spans="1:8">
      <c r="A38" t="s">
        <v>12</v>
      </c>
      <c r="B38" t="s">
        <v>14</v>
      </c>
      <c r="C38" t="s">
        <v>17</v>
      </c>
      <c r="D38">
        <v>4.07</v>
      </c>
      <c r="E38">
        <v>259</v>
      </c>
      <c r="F38">
        <v>8112.12</v>
      </c>
      <c r="G38">
        <v>700132</v>
      </c>
      <c r="H38" s="4">
        <f t="shared" si="1"/>
        <v>3.1927535588724035E-2</v>
      </c>
    </row>
    <row r="39" spans="1:8">
      <c r="A39" t="s">
        <v>13</v>
      </c>
      <c r="B39" t="s">
        <v>8</v>
      </c>
      <c r="C39" t="s">
        <v>9</v>
      </c>
      <c r="D39">
        <v>10.08</v>
      </c>
      <c r="E39">
        <v>299</v>
      </c>
      <c r="F39">
        <v>17236.240000000002</v>
      </c>
      <c r="G39">
        <v>3324453</v>
      </c>
      <c r="H39" s="4">
        <f t="shared" si="1"/>
        <v>1.7347170844685383E-2</v>
      </c>
    </row>
    <row r="40" spans="1:8">
      <c r="A40" t="s">
        <v>13</v>
      </c>
      <c r="B40" t="s">
        <v>8</v>
      </c>
      <c r="C40" t="s">
        <v>15</v>
      </c>
      <c r="D40">
        <v>5.55</v>
      </c>
      <c r="E40">
        <v>159</v>
      </c>
      <c r="F40">
        <v>4281.04</v>
      </c>
      <c r="G40">
        <v>4773470</v>
      </c>
      <c r="H40" s="4">
        <f t="shared" si="1"/>
        <v>3.7140507913964831E-2</v>
      </c>
    </row>
    <row r="41" spans="1:8">
      <c r="A41" t="s">
        <v>12</v>
      </c>
      <c r="B41" t="s">
        <v>14</v>
      </c>
      <c r="C41" t="s">
        <v>11</v>
      </c>
      <c r="D41">
        <v>2.96</v>
      </c>
      <c r="E41">
        <v>272</v>
      </c>
      <c r="F41">
        <v>15285.53</v>
      </c>
      <c r="G41">
        <v>4522288</v>
      </c>
      <c r="H41" s="4">
        <f t="shared" si="1"/>
        <v>1.7794607056477597E-2</v>
      </c>
    </row>
    <row r="42" spans="1:8">
      <c r="A42" t="s">
        <v>12</v>
      </c>
      <c r="B42" t="s">
        <v>8</v>
      </c>
      <c r="C42" t="s">
        <v>18</v>
      </c>
      <c r="D42">
        <v>8.44</v>
      </c>
      <c r="E42">
        <v>80</v>
      </c>
      <c r="F42">
        <v>1019.21</v>
      </c>
      <c r="G42">
        <v>3305582</v>
      </c>
      <c r="H42" s="4">
        <f t="shared" si="1"/>
        <v>7.8492165500730959E-2</v>
      </c>
    </row>
    <row r="43" spans="1:8">
      <c r="A43" t="s">
        <v>13</v>
      </c>
      <c r="B43" t="s">
        <v>8</v>
      </c>
      <c r="C43" t="s">
        <v>11</v>
      </c>
      <c r="D43">
        <v>11.21</v>
      </c>
      <c r="E43">
        <v>307</v>
      </c>
      <c r="F43">
        <v>9331.2000000000007</v>
      </c>
      <c r="G43">
        <v>3094034</v>
      </c>
      <c r="H43" s="4">
        <f t="shared" si="1"/>
        <v>3.2900377229080929E-2</v>
      </c>
    </row>
    <row r="44" spans="1:8">
      <c r="A44" t="s">
        <v>10</v>
      </c>
      <c r="B44" t="s">
        <v>8</v>
      </c>
      <c r="C44" t="s">
        <v>11</v>
      </c>
      <c r="D44">
        <v>10.97</v>
      </c>
      <c r="E44">
        <v>69</v>
      </c>
      <c r="F44">
        <v>14153.08</v>
      </c>
      <c r="G44">
        <v>1998189</v>
      </c>
      <c r="H44" s="4">
        <f t="shared" si="1"/>
        <v>4.8752639001545953E-3</v>
      </c>
    </row>
    <row r="45" spans="1:8">
      <c r="A45" t="s">
        <v>16</v>
      </c>
      <c r="B45" t="s">
        <v>8</v>
      </c>
      <c r="C45" t="s">
        <v>11</v>
      </c>
      <c r="D45">
        <v>7.51</v>
      </c>
      <c r="E45">
        <v>75</v>
      </c>
      <c r="F45">
        <v>19461.32</v>
      </c>
      <c r="G45">
        <v>2985737</v>
      </c>
      <c r="H45" s="4">
        <f t="shared" si="1"/>
        <v>3.8537982007386959E-3</v>
      </c>
    </row>
    <row r="46" spans="1:8">
      <c r="A46" t="s">
        <v>7</v>
      </c>
      <c r="B46" t="s">
        <v>14</v>
      </c>
      <c r="C46" t="s">
        <v>18</v>
      </c>
      <c r="D46">
        <v>2.56</v>
      </c>
      <c r="E46">
        <v>105</v>
      </c>
      <c r="F46">
        <v>17856.97</v>
      </c>
      <c r="G46">
        <v>1916772</v>
      </c>
      <c r="H46" s="4">
        <f t="shared" si="1"/>
        <v>5.880056918950975E-3</v>
      </c>
    </row>
    <row r="47" spans="1:8">
      <c r="A47" t="s">
        <v>16</v>
      </c>
      <c r="B47" t="s">
        <v>8</v>
      </c>
      <c r="C47" t="s">
        <v>17</v>
      </c>
      <c r="D47">
        <v>11.52</v>
      </c>
      <c r="E47">
        <v>58</v>
      </c>
      <c r="F47">
        <v>10660.52</v>
      </c>
      <c r="G47">
        <v>4498876</v>
      </c>
      <c r="H47" s="4">
        <f t="shared" si="1"/>
        <v>5.4406351660144158E-3</v>
      </c>
    </row>
    <row r="48" spans="1:8">
      <c r="A48" t="s">
        <v>10</v>
      </c>
      <c r="B48" t="s">
        <v>14</v>
      </c>
      <c r="C48" t="s">
        <v>11</v>
      </c>
      <c r="D48">
        <v>10.64</v>
      </c>
      <c r="E48">
        <v>61</v>
      </c>
      <c r="F48">
        <v>9341.2199999999993</v>
      </c>
      <c r="G48">
        <v>651530</v>
      </c>
      <c r="H48" s="4">
        <f t="shared" si="1"/>
        <v>6.5301962698662494E-3</v>
      </c>
    </row>
    <row r="49" spans="1:8">
      <c r="A49" t="s">
        <v>13</v>
      </c>
      <c r="B49" t="s">
        <v>14</v>
      </c>
      <c r="C49" t="s">
        <v>11</v>
      </c>
      <c r="D49">
        <v>6.26</v>
      </c>
      <c r="E49">
        <v>309</v>
      </c>
      <c r="F49">
        <v>18458.41</v>
      </c>
      <c r="G49">
        <v>3121385</v>
      </c>
      <c r="H49" s="4">
        <f t="shared" si="1"/>
        <v>1.6740336789571798E-2</v>
      </c>
    </row>
    <row r="50" spans="1:8">
      <c r="A50" t="s">
        <v>16</v>
      </c>
      <c r="B50" t="s">
        <v>8</v>
      </c>
      <c r="C50" t="s">
        <v>15</v>
      </c>
      <c r="D50">
        <v>1.52</v>
      </c>
      <c r="E50">
        <v>178</v>
      </c>
      <c r="F50">
        <v>18497.77</v>
      </c>
      <c r="G50">
        <v>1387967</v>
      </c>
      <c r="H50" s="4">
        <f t="shared" si="1"/>
        <v>9.6227815569119943E-3</v>
      </c>
    </row>
    <row r="51" spans="1:8">
      <c r="A51" t="s">
        <v>12</v>
      </c>
      <c r="B51" t="s">
        <v>14</v>
      </c>
      <c r="C51" t="s">
        <v>15</v>
      </c>
      <c r="D51">
        <v>2.83</v>
      </c>
      <c r="E51">
        <v>154</v>
      </c>
      <c r="F51">
        <v>18370.8</v>
      </c>
      <c r="G51">
        <v>1189405</v>
      </c>
      <c r="H51" s="4">
        <f t="shared" si="1"/>
        <v>8.3828684651729921E-3</v>
      </c>
    </row>
    <row r="52" spans="1:8">
      <c r="A52" t="s">
        <v>12</v>
      </c>
      <c r="B52" t="s">
        <v>14</v>
      </c>
      <c r="C52" t="s">
        <v>17</v>
      </c>
      <c r="D52">
        <v>2.27</v>
      </c>
      <c r="E52">
        <v>108</v>
      </c>
      <c r="F52">
        <v>5088.8500000000004</v>
      </c>
      <c r="G52">
        <v>3614091</v>
      </c>
      <c r="H52" s="4">
        <f t="shared" si="1"/>
        <v>2.122286960708215E-2</v>
      </c>
    </row>
    <row r="53" spans="1:8">
      <c r="A53" t="s">
        <v>12</v>
      </c>
      <c r="B53" t="s">
        <v>8</v>
      </c>
      <c r="C53" t="s">
        <v>15</v>
      </c>
      <c r="D53">
        <v>9.0500000000000007</v>
      </c>
      <c r="E53">
        <v>304</v>
      </c>
      <c r="F53">
        <v>16980.75</v>
      </c>
      <c r="G53">
        <v>3058674</v>
      </c>
      <c r="H53" s="4">
        <f t="shared" si="1"/>
        <v>1.7902625031285428E-2</v>
      </c>
    </row>
    <row r="54" spans="1:8">
      <c r="A54" t="s">
        <v>13</v>
      </c>
      <c r="B54" t="s">
        <v>14</v>
      </c>
      <c r="C54" t="s">
        <v>18</v>
      </c>
      <c r="D54">
        <v>7.61</v>
      </c>
      <c r="E54">
        <v>118</v>
      </c>
      <c r="F54">
        <v>13999.95</v>
      </c>
      <c r="G54">
        <v>4611419</v>
      </c>
      <c r="H54" s="4">
        <f t="shared" si="1"/>
        <v>8.428601530719752E-3</v>
      </c>
    </row>
    <row r="55" spans="1:8">
      <c r="A55" t="s">
        <v>13</v>
      </c>
      <c r="B55" t="s">
        <v>8</v>
      </c>
      <c r="C55" t="s">
        <v>11</v>
      </c>
      <c r="D55">
        <v>6.31</v>
      </c>
      <c r="E55">
        <v>220</v>
      </c>
      <c r="F55">
        <v>19199.400000000001</v>
      </c>
      <c r="G55">
        <v>1337546</v>
      </c>
      <c r="H55" s="4">
        <f t="shared" si="1"/>
        <v>1.1458691417440128E-2</v>
      </c>
    </row>
    <row r="56" spans="1:8">
      <c r="A56" t="s">
        <v>12</v>
      </c>
      <c r="B56" t="s">
        <v>8</v>
      </c>
      <c r="C56" t="s">
        <v>17</v>
      </c>
      <c r="D56">
        <v>6</v>
      </c>
      <c r="E56">
        <v>150</v>
      </c>
      <c r="F56">
        <v>18256.080000000002</v>
      </c>
      <c r="G56">
        <v>837359</v>
      </c>
      <c r="H56" s="4">
        <f t="shared" si="1"/>
        <v>8.2164407693217818E-3</v>
      </c>
    </row>
    <row r="57" spans="1:8">
      <c r="A57" t="s">
        <v>7</v>
      </c>
      <c r="B57" t="s">
        <v>8</v>
      </c>
      <c r="C57" t="s">
        <v>18</v>
      </c>
      <c r="D57">
        <v>7.91</v>
      </c>
      <c r="E57">
        <v>223</v>
      </c>
      <c r="F57">
        <v>15378.35</v>
      </c>
      <c r="G57">
        <v>2074290</v>
      </c>
      <c r="H57" s="4">
        <f t="shared" si="1"/>
        <v>1.4500905493762335E-2</v>
      </c>
    </row>
    <row r="58" spans="1:8">
      <c r="A58" t="s">
        <v>10</v>
      </c>
      <c r="B58" t="s">
        <v>14</v>
      </c>
      <c r="C58" t="s">
        <v>11</v>
      </c>
      <c r="D58">
        <v>2.16</v>
      </c>
      <c r="E58">
        <v>219</v>
      </c>
      <c r="F58">
        <v>15303.38</v>
      </c>
      <c r="G58">
        <v>3042401</v>
      </c>
      <c r="H58" s="4">
        <f t="shared" si="1"/>
        <v>1.4310564071466565E-2</v>
      </c>
    </row>
    <row r="59" spans="1:8">
      <c r="A59" t="s">
        <v>16</v>
      </c>
      <c r="B59" t="s">
        <v>8</v>
      </c>
      <c r="C59" t="s">
        <v>9</v>
      </c>
      <c r="D59">
        <v>7.92</v>
      </c>
      <c r="E59">
        <v>324</v>
      </c>
      <c r="F59">
        <v>6307.37</v>
      </c>
      <c r="G59">
        <v>3463382</v>
      </c>
      <c r="H59" s="4">
        <f t="shared" si="1"/>
        <v>5.136847846249705E-2</v>
      </c>
    </row>
    <row r="60" spans="1:8">
      <c r="A60" t="s">
        <v>7</v>
      </c>
      <c r="B60" t="s">
        <v>14</v>
      </c>
      <c r="C60" t="s">
        <v>11</v>
      </c>
      <c r="D60">
        <v>10.220000000000001</v>
      </c>
      <c r="E60">
        <v>125</v>
      </c>
      <c r="F60">
        <v>5985.06</v>
      </c>
      <c r="G60">
        <v>4211703</v>
      </c>
      <c r="H60" s="4">
        <f t="shared" si="1"/>
        <v>2.0885337824516379E-2</v>
      </c>
    </row>
    <row r="61" spans="1:8">
      <c r="A61" t="s">
        <v>13</v>
      </c>
      <c r="B61" t="s">
        <v>8</v>
      </c>
      <c r="C61" t="s">
        <v>9</v>
      </c>
      <c r="D61">
        <v>7.51</v>
      </c>
      <c r="E61">
        <v>143</v>
      </c>
      <c r="F61">
        <v>14410.33</v>
      </c>
      <c r="G61">
        <v>4838300</v>
      </c>
      <c r="H61" s="4">
        <f t="shared" si="1"/>
        <v>9.9234368678579876E-3</v>
      </c>
    </row>
    <row r="62" spans="1:8">
      <c r="A62" t="s">
        <v>16</v>
      </c>
      <c r="B62" t="s">
        <v>8</v>
      </c>
      <c r="C62" t="s">
        <v>17</v>
      </c>
      <c r="D62">
        <v>9.7799999999999994</v>
      </c>
      <c r="E62">
        <v>179</v>
      </c>
      <c r="F62">
        <v>19368.099999999999</v>
      </c>
      <c r="G62">
        <v>3968966</v>
      </c>
      <c r="H62" s="4">
        <f t="shared" si="1"/>
        <v>9.2420010222995543E-3</v>
      </c>
    </row>
    <row r="63" spans="1:8">
      <c r="A63" t="s">
        <v>13</v>
      </c>
      <c r="B63" t="s">
        <v>14</v>
      </c>
      <c r="C63" t="s">
        <v>17</v>
      </c>
      <c r="D63">
        <v>3.06</v>
      </c>
      <c r="E63">
        <v>97</v>
      </c>
      <c r="F63">
        <v>10070.52</v>
      </c>
      <c r="G63">
        <v>4864979</v>
      </c>
      <c r="H63" s="4">
        <f t="shared" si="1"/>
        <v>9.6320746098513283E-3</v>
      </c>
    </row>
    <row r="64" spans="1:8">
      <c r="A64" t="s">
        <v>7</v>
      </c>
      <c r="B64" t="s">
        <v>8</v>
      </c>
      <c r="C64" t="s">
        <v>9</v>
      </c>
      <c r="D64">
        <v>6.58</v>
      </c>
      <c r="E64">
        <v>73</v>
      </c>
      <c r="F64">
        <v>5037.3900000000003</v>
      </c>
      <c r="G64">
        <v>3941343</v>
      </c>
      <c r="H64" s="4">
        <f t="shared" si="1"/>
        <v>1.4491631579051849E-2</v>
      </c>
    </row>
    <row r="65" spans="1:8">
      <c r="A65" t="s">
        <v>13</v>
      </c>
      <c r="B65" t="s">
        <v>14</v>
      </c>
      <c r="C65" t="s">
        <v>9</v>
      </c>
      <c r="D65">
        <v>5.36</v>
      </c>
      <c r="E65">
        <v>142</v>
      </c>
      <c r="F65">
        <v>2516.52</v>
      </c>
      <c r="G65">
        <v>4266289</v>
      </c>
      <c r="H65" s="4">
        <f t="shared" si="1"/>
        <v>5.6427129528078455E-2</v>
      </c>
    </row>
    <row r="66" spans="1:8">
      <c r="A66" t="s">
        <v>12</v>
      </c>
      <c r="B66" t="s">
        <v>14</v>
      </c>
      <c r="C66" t="s">
        <v>18</v>
      </c>
      <c r="D66">
        <v>7.49</v>
      </c>
      <c r="E66">
        <v>124</v>
      </c>
      <c r="F66">
        <v>12121.56</v>
      </c>
      <c r="G66">
        <v>1495282</v>
      </c>
      <c r="H66" s="4">
        <f t="shared" ref="H66:H101" si="2">E66/F66</f>
        <v>1.0229706407426107E-2</v>
      </c>
    </row>
    <row r="67" spans="1:8">
      <c r="A67" t="s">
        <v>7</v>
      </c>
      <c r="B67" t="s">
        <v>8</v>
      </c>
      <c r="C67" t="s">
        <v>11</v>
      </c>
      <c r="D67">
        <v>11.32</v>
      </c>
      <c r="E67">
        <v>285</v>
      </c>
      <c r="F67">
        <v>2838.56</v>
      </c>
      <c r="G67">
        <v>2010338</v>
      </c>
      <c r="H67" s="4">
        <f t="shared" si="2"/>
        <v>0.10040302125021137</v>
      </c>
    </row>
    <row r="68" spans="1:8">
      <c r="A68" t="s">
        <v>12</v>
      </c>
      <c r="B68" t="s">
        <v>14</v>
      </c>
      <c r="C68" t="s">
        <v>9</v>
      </c>
      <c r="D68">
        <v>10.68</v>
      </c>
      <c r="E68">
        <v>213</v>
      </c>
      <c r="F68">
        <v>14320.74</v>
      </c>
      <c r="G68">
        <v>767373</v>
      </c>
      <c r="H68" s="4">
        <f t="shared" si="2"/>
        <v>1.4873533071615014E-2</v>
      </c>
    </row>
    <row r="69" spans="1:8">
      <c r="A69" t="s">
        <v>16</v>
      </c>
      <c r="B69" t="s">
        <v>8</v>
      </c>
      <c r="C69" t="s">
        <v>11</v>
      </c>
      <c r="D69">
        <v>2.87</v>
      </c>
      <c r="E69">
        <v>170</v>
      </c>
      <c r="F69">
        <v>1411.8</v>
      </c>
      <c r="G69">
        <v>1627551</v>
      </c>
      <c r="H69" s="4">
        <f t="shared" si="2"/>
        <v>0.12041365632525854</v>
      </c>
    </row>
    <row r="70" spans="1:8">
      <c r="A70" t="s">
        <v>16</v>
      </c>
      <c r="B70" t="s">
        <v>8</v>
      </c>
      <c r="C70" t="s">
        <v>17</v>
      </c>
      <c r="D70">
        <v>2.85</v>
      </c>
      <c r="E70">
        <v>111</v>
      </c>
      <c r="F70">
        <v>14007.86</v>
      </c>
      <c r="G70">
        <v>2208002</v>
      </c>
      <c r="H70" s="4">
        <f t="shared" si="2"/>
        <v>7.9241225997404314E-3</v>
      </c>
    </row>
    <row r="71" spans="1:8">
      <c r="A71" t="s">
        <v>12</v>
      </c>
      <c r="B71" t="s">
        <v>14</v>
      </c>
      <c r="C71" t="s">
        <v>15</v>
      </c>
      <c r="D71">
        <v>2.83</v>
      </c>
      <c r="E71">
        <v>256</v>
      </c>
      <c r="F71">
        <v>6959.5</v>
      </c>
      <c r="G71">
        <v>3155845</v>
      </c>
      <c r="H71" s="4">
        <f t="shared" si="2"/>
        <v>3.6784251742222863E-2</v>
      </c>
    </row>
    <row r="72" spans="1:8">
      <c r="A72" t="s">
        <v>16</v>
      </c>
      <c r="B72" t="s">
        <v>8</v>
      </c>
      <c r="C72" t="s">
        <v>18</v>
      </c>
      <c r="D72">
        <v>11.1</v>
      </c>
      <c r="E72">
        <v>172</v>
      </c>
      <c r="F72">
        <v>14481.76</v>
      </c>
      <c r="G72">
        <v>4378248</v>
      </c>
      <c r="H72" s="4">
        <f t="shared" si="2"/>
        <v>1.1877009424268873E-2</v>
      </c>
    </row>
    <row r="73" spans="1:8">
      <c r="A73" t="s">
        <v>13</v>
      </c>
      <c r="B73" t="s">
        <v>8</v>
      </c>
      <c r="C73" t="s">
        <v>11</v>
      </c>
      <c r="D73">
        <v>10.72</v>
      </c>
      <c r="E73">
        <v>145</v>
      </c>
      <c r="F73">
        <v>14368.58</v>
      </c>
      <c r="G73">
        <v>3332155</v>
      </c>
      <c r="H73" s="4">
        <f t="shared" si="2"/>
        <v>1.0091463457070914E-2</v>
      </c>
    </row>
    <row r="74" spans="1:8">
      <c r="A74" t="s">
        <v>10</v>
      </c>
      <c r="B74" t="s">
        <v>14</v>
      </c>
      <c r="C74" t="s">
        <v>9</v>
      </c>
      <c r="D74">
        <v>8.51</v>
      </c>
      <c r="E74">
        <v>52</v>
      </c>
      <c r="F74">
        <v>13554.02</v>
      </c>
      <c r="G74">
        <v>2113242</v>
      </c>
      <c r="H74" s="4">
        <f t="shared" si="2"/>
        <v>3.8365001674779881E-3</v>
      </c>
    </row>
    <row r="75" spans="1:8">
      <c r="A75" t="s">
        <v>7</v>
      </c>
      <c r="B75" t="s">
        <v>14</v>
      </c>
      <c r="C75" t="s">
        <v>17</v>
      </c>
      <c r="D75">
        <v>3.03</v>
      </c>
      <c r="E75">
        <v>162</v>
      </c>
      <c r="F75">
        <v>3239.36</v>
      </c>
      <c r="G75">
        <v>3813020</v>
      </c>
      <c r="H75" s="4">
        <f t="shared" si="2"/>
        <v>5.0009878494517435E-2</v>
      </c>
    </row>
    <row r="76" spans="1:8">
      <c r="A76" t="s">
        <v>7</v>
      </c>
      <c r="B76" t="s">
        <v>14</v>
      </c>
      <c r="C76" t="s">
        <v>17</v>
      </c>
      <c r="D76">
        <v>10.96</v>
      </c>
      <c r="E76">
        <v>271</v>
      </c>
      <c r="F76">
        <v>9742.5499999999993</v>
      </c>
      <c r="G76">
        <v>2918906</v>
      </c>
      <c r="H76" s="4">
        <f t="shared" si="2"/>
        <v>2.7816126168200318E-2</v>
      </c>
    </row>
    <row r="77" spans="1:8">
      <c r="A77" t="s">
        <v>13</v>
      </c>
      <c r="B77" t="s">
        <v>14</v>
      </c>
      <c r="C77" t="s">
        <v>9</v>
      </c>
      <c r="D77">
        <v>4.1100000000000003</v>
      </c>
      <c r="E77">
        <v>122</v>
      </c>
      <c r="F77">
        <v>3126.49</v>
      </c>
      <c r="G77">
        <v>3187091</v>
      </c>
      <c r="H77" s="4">
        <f t="shared" si="2"/>
        <v>3.9021394599055174E-2</v>
      </c>
    </row>
    <row r="78" spans="1:8">
      <c r="A78" t="s">
        <v>10</v>
      </c>
      <c r="B78" t="s">
        <v>8</v>
      </c>
      <c r="C78" t="s">
        <v>17</v>
      </c>
      <c r="D78">
        <v>6.06</v>
      </c>
      <c r="E78">
        <v>322</v>
      </c>
      <c r="F78">
        <v>12289.56</v>
      </c>
      <c r="G78">
        <v>2585564</v>
      </c>
      <c r="H78" s="4">
        <f t="shared" si="2"/>
        <v>2.6201100771711925E-2</v>
      </c>
    </row>
    <row r="79" spans="1:8">
      <c r="A79" t="s">
        <v>7</v>
      </c>
      <c r="B79" t="s">
        <v>8</v>
      </c>
      <c r="C79" t="s">
        <v>9</v>
      </c>
      <c r="D79">
        <v>11.45</v>
      </c>
      <c r="E79">
        <v>196</v>
      </c>
      <c r="F79">
        <v>10667.18</v>
      </c>
      <c r="G79">
        <v>3054559</v>
      </c>
      <c r="H79" s="4">
        <f t="shared" si="2"/>
        <v>1.837411574567974E-2</v>
      </c>
    </row>
    <row r="80" spans="1:8">
      <c r="A80" t="s">
        <v>7</v>
      </c>
      <c r="B80" t="s">
        <v>14</v>
      </c>
      <c r="C80" t="s">
        <v>17</v>
      </c>
      <c r="D80">
        <v>2.27</v>
      </c>
      <c r="E80">
        <v>52</v>
      </c>
      <c r="F80">
        <v>4235.3100000000004</v>
      </c>
      <c r="G80">
        <v>2646002</v>
      </c>
      <c r="H80" s="4">
        <f t="shared" si="2"/>
        <v>1.2277731736283765E-2</v>
      </c>
    </row>
    <row r="81" spans="1:8">
      <c r="A81" t="s">
        <v>7</v>
      </c>
      <c r="B81" t="s">
        <v>8</v>
      </c>
      <c r="C81" t="s">
        <v>18</v>
      </c>
      <c r="D81">
        <v>1.1399999999999999</v>
      </c>
      <c r="E81">
        <v>276</v>
      </c>
      <c r="F81">
        <v>6617.21</v>
      </c>
      <c r="G81">
        <v>1374112</v>
      </c>
      <c r="H81" s="4">
        <f t="shared" si="2"/>
        <v>4.1709421342227312E-2</v>
      </c>
    </row>
    <row r="82" spans="1:8">
      <c r="A82" t="s">
        <v>10</v>
      </c>
      <c r="B82" t="s">
        <v>8</v>
      </c>
      <c r="C82" t="s">
        <v>17</v>
      </c>
      <c r="D82">
        <v>11.35</v>
      </c>
      <c r="E82">
        <v>292</v>
      </c>
      <c r="F82">
        <v>10568.81</v>
      </c>
      <c r="G82">
        <v>2347816</v>
      </c>
      <c r="H82" s="4">
        <f t="shared" si="2"/>
        <v>2.7628465267139822E-2</v>
      </c>
    </row>
    <row r="83" spans="1:8">
      <c r="A83" t="s">
        <v>12</v>
      </c>
      <c r="B83" t="s">
        <v>8</v>
      </c>
      <c r="C83" t="s">
        <v>9</v>
      </c>
      <c r="D83">
        <v>8.5500000000000007</v>
      </c>
      <c r="E83">
        <v>50</v>
      </c>
      <c r="F83">
        <v>15460.7</v>
      </c>
      <c r="G83">
        <v>1872082</v>
      </c>
      <c r="H83" s="4">
        <f t="shared" si="2"/>
        <v>3.2340062222279715E-3</v>
      </c>
    </row>
    <row r="84" spans="1:8">
      <c r="A84" t="s">
        <v>7</v>
      </c>
      <c r="B84" t="s">
        <v>14</v>
      </c>
      <c r="C84" t="s">
        <v>18</v>
      </c>
      <c r="D84">
        <v>2.99</v>
      </c>
      <c r="E84">
        <v>330</v>
      </c>
      <c r="F84">
        <v>4322.1099999999997</v>
      </c>
      <c r="G84">
        <v>4704684</v>
      </c>
      <c r="H84" s="4">
        <f t="shared" si="2"/>
        <v>7.6351596789531045E-2</v>
      </c>
    </row>
    <row r="85" spans="1:8">
      <c r="A85" t="s">
        <v>10</v>
      </c>
      <c r="B85" t="s">
        <v>14</v>
      </c>
      <c r="C85" t="s">
        <v>15</v>
      </c>
      <c r="D85">
        <v>3</v>
      </c>
      <c r="E85">
        <v>218</v>
      </c>
      <c r="F85">
        <v>16163.38</v>
      </c>
      <c r="G85">
        <v>3780078</v>
      </c>
      <c r="H85" s="4">
        <f t="shared" si="2"/>
        <v>1.3487278032193762E-2</v>
      </c>
    </row>
    <row r="86" spans="1:8">
      <c r="A86" t="s">
        <v>12</v>
      </c>
      <c r="B86" t="s">
        <v>8</v>
      </c>
      <c r="C86" t="s">
        <v>18</v>
      </c>
      <c r="D86">
        <v>6.38</v>
      </c>
      <c r="E86">
        <v>308</v>
      </c>
      <c r="F86">
        <v>18561.310000000001</v>
      </c>
      <c r="G86">
        <v>2654228</v>
      </c>
      <c r="H86" s="4">
        <f t="shared" si="2"/>
        <v>1.6593656374469259E-2</v>
      </c>
    </row>
    <row r="87" spans="1:8">
      <c r="A87" t="s">
        <v>7</v>
      </c>
      <c r="B87" t="s">
        <v>8</v>
      </c>
      <c r="C87" t="s">
        <v>9</v>
      </c>
      <c r="D87">
        <v>6.84</v>
      </c>
      <c r="E87">
        <v>185</v>
      </c>
      <c r="F87">
        <v>12170.8</v>
      </c>
      <c r="G87">
        <v>3143828</v>
      </c>
      <c r="H87" s="4">
        <f t="shared" si="2"/>
        <v>1.5200315509251652E-2</v>
      </c>
    </row>
    <row r="88" spans="1:8">
      <c r="A88" t="s">
        <v>10</v>
      </c>
      <c r="B88" t="s">
        <v>14</v>
      </c>
      <c r="C88" t="s">
        <v>18</v>
      </c>
      <c r="D88">
        <v>11.56</v>
      </c>
      <c r="E88">
        <v>290</v>
      </c>
      <c r="F88">
        <v>9377.7000000000007</v>
      </c>
      <c r="G88">
        <v>3855632</v>
      </c>
      <c r="H88" s="4">
        <f t="shared" si="2"/>
        <v>3.0924427098329012E-2</v>
      </c>
    </row>
    <row r="89" spans="1:8">
      <c r="A89" t="s">
        <v>16</v>
      </c>
      <c r="B89" t="s">
        <v>8</v>
      </c>
      <c r="C89" t="s">
        <v>15</v>
      </c>
      <c r="D89">
        <v>1.22</v>
      </c>
      <c r="E89">
        <v>65</v>
      </c>
      <c r="F89">
        <v>11200.91</v>
      </c>
      <c r="G89">
        <v>1385350</v>
      </c>
      <c r="H89" s="4">
        <f t="shared" si="2"/>
        <v>5.803099926702384E-3</v>
      </c>
    </row>
    <row r="90" spans="1:8">
      <c r="A90" t="s">
        <v>7</v>
      </c>
      <c r="B90" t="s">
        <v>14</v>
      </c>
      <c r="C90" t="s">
        <v>11</v>
      </c>
      <c r="D90">
        <v>10.25</v>
      </c>
      <c r="E90">
        <v>222</v>
      </c>
      <c r="F90">
        <v>10970.84</v>
      </c>
      <c r="G90">
        <v>2588307</v>
      </c>
      <c r="H90" s="4">
        <f t="shared" si="2"/>
        <v>2.0235460548143989E-2</v>
      </c>
    </row>
    <row r="91" spans="1:8">
      <c r="A91" t="s">
        <v>7</v>
      </c>
      <c r="B91" t="s">
        <v>8</v>
      </c>
      <c r="C91" t="s">
        <v>15</v>
      </c>
      <c r="D91">
        <v>3.69</v>
      </c>
      <c r="E91">
        <v>228</v>
      </c>
      <c r="F91">
        <v>17990.7</v>
      </c>
      <c r="G91">
        <v>2116053</v>
      </c>
      <c r="H91" s="4">
        <f t="shared" si="2"/>
        <v>1.2673214494155313E-2</v>
      </c>
    </row>
    <row r="92" spans="1:8">
      <c r="A92" t="s">
        <v>16</v>
      </c>
      <c r="B92" t="s">
        <v>14</v>
      </c>
      <c r="C92" t="s">
        <v>17</v>
      </c>
      <c r="D92">
        <v>10.8</v>
      </c>
      <c r="E92">
        <v>197</v>
      </c>
      <c r="F92">
        <v>2026.25</v>
      </c>
      <c r="G92">
        <v>3705771</v>
      </c>
      <c r="H92" s="4">
        <f t="shared" si="2"/>
        <v>9.7223935842072798E-2</v>
      </c>
    </row>
    <row r="93" spans="1:8">
      <c r="A93" t="s">
        <v>16</v>
      </c>
      <c r="B93" t="s">
        <v>8</v>
      </c>
      <c r="C93" t="s">
        <v>9</v>
      </c>
      <c r="D93">
        <v>8.85</v>
      </c>
      <c r="E93">
        <v>328</v>
      </c>
      <c r="F93">
        <v>7524.61</v>
      </c>
      <c r="G93">
        <v>4501667</v>
      </c>
      <c r="H93" s="4">
        <f t="shared" si="2"/>
        <v>4.3590299032109307E-2</v>
      </c>
    </row>
    <row r="94" spans="1:8">
      <c r="A94" t="s">
        <v>12</v>
      </c>
      <c r="B94" t="s">
        <v>14</v>
      </c>
      <c r="C94" t="s">
        <v>18</v>
      </c>
      <c r="D94">
        <v>9.48</v>
      </c>
      <c r="E94">
        <v>176</v>
      </c>
      <c r="F94">
        <v>1434.19</v>
      </c>
      <c r="G94">
        <v>629076</v>
      </c>
      <c r="H94" s="4">
        <f t="shared" si="2"/>
        <v>0.12271735265201961</v>
      </c>
    </row>
    <row r="95" spans="1:8">
      <c r="A95" t="s">
        <v>16</v>
      </c>
      <c r="B95" t="s">
        <v>8</v>
      </c>
      <c r="C95" t="s">
        <v>18</v>
      </c>
      <c r="D95">
        <v>9.01</v>
      </c>
      <c r="E95">
        <v>73</v>
      </c>
      <c r="F95">
        <v>9489.6</v>
      </c>
      <c r="G95">
        <v>3584566</v>
      </c>
      <c r="H95" s="4">
        <f t="shared" si="2"/>
        <v>7.6926319339065919E-3</v>
      </c>
    </row>
    <row r="96" spans="1:8">
      <c r="A96" t="s">
        <v>13</v>
      </c>
      <c r="B96" t="s">
        <v>8</v>
      </c>
      <c r="C96" t="s">
        <v>9</v>
      </c>
      <c r="D96">
        <v>4.93</v>
      </c>
      <c r="E96">
        <v>211</v>
      </c>
      <c r="F96">
        <v>11299.43</v>
      </c>
      <c r="G96">
        <v>1605906</v>
      </c>
      <c r="H96" s="4">
        <f t="shared" si="2"/>
        <v>1.8673508309711196E-2</v>
      </c>
    </row>
    <row r="97" spans="1:8">
      <c r="A97" t="s">
        <v>16</v>
      </c>
      <c r="B97" t="s">
        <v>8</v>
      </c>
      <c r="C97" t="s">
        <v>17</v>
      </c>
      <c r="D97">
        <v>7.7</v>
      </c>
      <c r="E97">
        <v>239</v>
      </c>
      <c r="F97">
        <v>8138.33</v>
      </c>
      <c r="G97">
        <v>4543088</v>
      </c>
      <c r="H97" s="4">
        <f t="shared" si="2"/>
        <v>2.9367204328160691E-2</v>
      </c>
    </row>
    <row r="98" spans="1:8">
      <c r="A98" t="s">
        <v>16</v>
      </c>
      <c r="B98" t="s">
        <v>8</v>
      </c>
      <c r="C98" t="s">
        <v>9</v>
      </c>
      <c r="D98">
        <v>5.68</v>
      </c>
      <c r="E98">
        <v>193</v>
      </c>
      <c r="F98">
        <v>19706.59</v>
      </c>
      <c r="G98">
        <v>1097497</v>
      </c>
      <c r="H98" s="4">
        <f t="shared" si="2"/>
        <v>9.7936781553784793E-3</v>
      </c>
    </row>
    <row r="99" spans="1:8">
      <c r="A99" t="s">
        <v>12</v>
      </c>
      <c r="B99" t="s">
        <v>8</v>
      </c>
      <c r="C99" t="s">
        <v>17</v>
      </c>
      <c r="D99">
        <v>4.12</v>
      </c>
      <c r="E99">
        <v>336</v>
      </c>
      <c r="F99">
        <v>16417.63</v>
      </c>
      <c r="G99">
        <v>2516159</v>
      </c>
      <c r="H99" s="4">
        <f t="shared" si="2"/>
        <v>2.0465804138599785E-2</v>
      </c>
    </row>
    <row r="100" spans="1:8">
      <c r="A100" t="s">
        <v>16</v>
      </c>
      <c r="B100" t="s">
        <v>14</v>
      </c>
      <c r="C100" t="s">
        <v>15</v>
      </c>
      <c r="D100">
        <v>7</v>
      </c>
      <c r="E100">
        <v>101</v>
      </c>
      <c r="F100">
        <v>17680.75</v>
      </c>
      <c r="G100">
        <v>1881162</v>
      </c>
      <c r="H100" s="4">
        <f t="shared" si="2"/>
        <v>5.7124273574367607E-3</v>
      </c>
    </row>
    <row r="101" spans="1:8">
      <c r="A101" t="s">
        <v>13</v>
      </c>
      <c r="B101" t="s">
        <v>8</v>
      </c>
      <c r="C101" t="s">
        <v>11</v>
      </c>
      <c r="D101">
        <v>5.51</v>
      </c>
      <c r="E101">
        <v>243</v>
      </c>
      <c r="F101">
        <v>11596.19</v>
      </c>
      <c r="G101">
        <v>4666671</v>
      </c>
      <c r="H101" s="4">
        <f t="shared" si="2"/>
        <v>2.0955158547764394E-2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2" zoomScale="58" zoomScaleNormal="58" workbookViewId="0">
      <selection activeCell="J40" sqref="J40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zoomScale="68" zoomScaleNormal="68" workbookViewId="0">
      <selection activeCell="K32" sqref="K3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Table</vt:lpstr>
      <vt:lpstr>Cleaned Aviation Dataset</vt:lpstr>
      <vt:lpstr>Charts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88888888888888888888</dc:creator>
  <cp:lastModifiedBy>88888888888888888888</cp:lastModifiedBy>
  <dcterms:created xsi:type="dcterms:W3CDTF">2026-05-19T16:12:39Z</dcterms:created>
  <dcterms:modified xsi:type="dcterms:W3CDTF">2026-06-17T16:20:36Z</dcterms:modified>
</cp:coreProperties>
</file>